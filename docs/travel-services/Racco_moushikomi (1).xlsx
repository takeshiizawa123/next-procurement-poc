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ustomProperty9.bin" ContentType="application/vnd.openxmlformats-officedocument.spreadsheetml.customProperty"/>
  <Override PartName="/xl/drawings/drawing2.xml" ContentType="application/vnd.openxmlformats-officedocument.drawing+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C:\Users\ts-keigo.ishikawa\Downloads\"/>
    </mc:Choice>
  </mc:AlternateContent>
  <xr:revisionPtr revIDLastSave="0" documentId="13_ncr:1_{03729019-6EC3-4FAF-B746-D2A7F8704E7D}" xr6:coauthVersionLast="47" xr6:coauthVersionMax="47" xr10:uidLastSave="{00000000-0000-0000-0000-000000000000}"/>
  <workbookProtection workbookAlgorithmName="SHA-512" workbookHashValue="YkB364tnyG5BbCYVX1JmprB9JMIfGV6JaMqMwT/eqaaDXPq6EVshmc5xHnD41ZtekEMnic28UPEGtgY3zDOHQA==" workbookSaltValue="D88THFgqlDom6IQhgr1UYg==" workbookSpinCount="100000" lockStructure="1"/>
  <bookViews>
    <workbookView xWindow="28680" yWindow="-120" windowWidth="29040" windowHeight="15720" xr2:uid="{00000000-000D-0000-FFFF-FFFF00000000}"/>
  </bookViews>
  <sheets>
    <sheet name="楽天トラベル「Racco」申込書" sheetId="3" r:id="rId1"/>
    <sheet name="記入例" sheetId="5" r:id="rId2"/>
  </sheets>
  <definedNames>
    <definedName name="_xlnm.Print_Area" localSheetId="0">楽天トラベル「Racco」申込書!$A$1:$AB$96</definedName>
    <definedName name="_xlnm.Print_Area" localSheetId="1">記入例!$A$1:$AB$96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1" i="5" l="1"/>
  <c r="AC51" i="5"/>
  <c r="AK50" i="5"/>
  <c r="AC50" i="5"/>
  <c r="AJ49" i="5"/>
  <c r="AC49" i="5"/>
  <c r="AJ48" i="5"/>
  <c r="AC48" i="5"/>
  <c r="X44" i="5"/>
  <c r="AJ49" i="3"/>
  <c r="AJ48" i="3"/>
  <c r="AC48" i="3"/>
  <c r="X44" i="3"/>
  <c r="AI48" i="3" a="1"/>
  <c r="AI50" i="5" a="1"/>
  <c r="AI50" i="3" a="1"/>
  <c r="AI51" i="5" a="1"/>
  <c r="AI51" i="3" a="1"/>
  <c r="AI48" i="5" a="1"/>
  <c r="AI49" i="3" a="1"/>
  <c r="AI49" i="5" a="1"/>
  <c r="AI50" i="5" l="1"/>
  <c r="U50" i="5" s="1"/>
  <c r="AI49" i="5"/>
  <c r="U49" i="5" s="1"/>
  <c r="AI51" i="5"/>
  <c r="U51" i="5" s="1"/>
  <c r="AI48" i="5"/>
  <c r="U48" i="5" s="1"/>
  <c r="AI48" i="3"/>
  <c r="U48" i="3" s="1"/>
  <c r="AI50" i="3"/>
  <c r="AI49" i="3"/>
  <c r="U49" i="3" s="1"/>
  <c r="AI51" i="3"/>
  <c r="AK50" i="3"/>
  <c r="AK51" i="3"/>
  <c r="U50" i="3" l="1"/>
  <c r="U51" i="3"/>
  <c r="AC51" i="3"/>
  <c r="AC50" i="3"/>
  <c r="AC4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<sst xmlns="http://schemas.openxmlformats.org/spreadsheetml/2006/main" count="323" uniqueCount="159">
  <si>
    <t>楽天グループ株式会社</t>
    <rPh sb="0" eb="2">
      <t>ラクテン</t>
    </rPh>
    <rPh sb="6" eb="10">
      <t>カブシキガイシャ</t>
    </rPh>
    <phoneticPr fontId="2"/>
  </si>
  <si>
    <t>（1枚目）</t>
    <rPh sb="2" eb="4">
      <t>マイメ</t>
    </rPh>
    <phoneticPr fontId="2"/>
  </si>
  <si>
    <t>BTM事業グループ　行</t>
    <rPh sb="3" eb="5">
      <t>ジギョウ</t>
    </rPh>
    <rPh sb="10" eb="11">
      <t>ユ</t>
    </rPh>
    <phoneticPr fontId="2"/>
  </si>
  <si>
    <t>↑　送信先FAX：050-3156-0291　↑</t>
    <rPh sb="2" eb="4">
      <t>ソウシン</t>
    </rPh>
    <rPh sb="4" eb="5">
      <t>サキ</t>
    </rPh>
    <phoneticPr fontId="2"/>
  </si>
  <si>
    <t>【楽天トラベル利用規約】</t>
    <phoneticPr fontId="2"/>
  </si>
  <si>
    <t>http://travel.rakuten.co.jp/info/agreement.html</t>
    <phoneticPr fontId="2"/>
  </si>
  <si>
    <t>楽天トラベル総合出張予約・管理サービス「Racco」申込書（法人用）</t>
    <phoneticPr fontId="2"/>
  </si>
  <si>
    <t>【Racco利用規約】</t>
    <phoneticPr fontId="2"/>
  </si>
  <si>
    <t>https://travel.rakuten.co.jp/B2B/manual/Racco_kiyaku.pdf</t>
    <phoneticPr fontId="2"/>
  </si>
  <si>
    <t xml:space="preserve"> 当社は別途、『「楽天トラベル」利用規約』、及び『「楽天トラベル」Racco利用規約』に同意の上、申し込みいたします。</t>
    <rPh sb="44" eb="46">
      <t>ドウイ</t>
    </rPh>
    <phoneticPr fontId="2"/>
  </si>
  <si>
    <t xml:space="preserve">【JALオンラインご利用規約】        </t>
  </si>
  <si>
    <t>https://www.jal.co.jp/jalonline/contact/terms.html</t>
  </si>
  <si>
    <t>　※お申込みの精算タイプにチェックを入れてください。</t>
    <rPh sb="3" eb="5">
      <t>モウシコ</t>
    </rPh>
    <rPh sb="7" eb="9">
      <t>セイサン</t>
    </rPh>
    <rPh sb="18" eb="19">
      <t>イ</t>
    </rPh>
    <phoneticPr fontId="2"/>
  </si>
  <si>
    <t>Type A（会社請求）</t>
    <rPh sb="7" eb="9">
      <t>カイシャ</t>
    </rPh>
    <rPh sb="9" eb="11">
      <t>セイキュウ</t>
    </rPh>
    <phoneticPr fontId="2"/>
  </si>
  <si>
    <t>Type B（個人精算）</t>
    <rPh sb="7" eb="9">
      <t>コジン</t>
    </rPh>
    <rPh sb="9" eb="11">
      <t>セイサン</t>
    </rPh>
    <phoneticPr fontId="2"/>
  </si>
  <si>
    <t>　└オプションサービスお申込み可</t>
    <rPh sb="12" eb="14">
      <t>モウシコミ</t>
    </rPh>
    <rPh sb="15" eb="16">
      <t>カ</t>
    </rPh>
    <phoneticPr fontId="2"/>
  </si>
  <si>
    <r>
      <t>　└オプションサービスお申込み</t>
    </r>
    <r>
      <rPr>
        <b/>
        <sz val="12"/>
        <rFont val="Meiryo UI"/>
        <family val="3"/>
        <charset val="128"/>
      </rPr>
      <t>不可</t>
    </r>
    <rPh sb="12" eb="14">
      <t>モウシコ</t>
    </rPh>
    <rPh sb="15" eb="17">
      <t>フカ</t>
    </rPh>
    <phoneticPr fontId="2"/>
  </si>
  <si>
    <t>JAL ONLINE</t>
    <phoneticPr fontId="2"/>
  </si>
  <si>
    <t>※【JALオンラインご利用規約】を承認の上、利用を希望します。</t>
  </si>
  <si>
    <t>ANA Biz</t>
    <phoneticPr fontId="2"/>
  </si>
  <si>
    <t>※別途、Raccoアカウント開設後に申込手続き、および、JCBの独自の審査があることを承認の上、利用を希望いたします。</t>
    <rPh sb="1" eb="3">
      <t>ベット</t>
    </rPh>
    <rPh sb="20" eb="22">
      <t>テツヅ</t>
    </rPh>
    <rPh sb="32" eb="34">
      <t>ドクジ</t>
    </rPh>
    <rPh sb="35" eb="37">
      <t>シンサ</t>
    </rPh>
    <rPh sb="43" eb="45">
      <t>ショウニン</t>
    </rPh>
    <rPh sb="46" eb="47">
      <t>ウエ</t>
    </rPh>
    <rPh sb="48" eb="50">
      <t>リヨウ</t>
    </rPh>
    <rPh sb="51" eb="53">
      <t>キボウ</t>
    </rPh>
    <phoneticPr fontId="2"/>
  </si>
  <si>
    <t xml:space="preserve">└　 </t>
    <phoneticPr fontId="2"/>
  </si>
  <si>
    <t>（必須）国内航空券のオプションは、請求スケジュールの関係上、途中追加・解約はできない旨を了承します。</t>
    <phoneticPr fontId="2"/>
  </si>
  <si>
    <t>海外航空券</t>
    <rPh sb="0" eb="2">
      <t>カイガイ</t>
    </rPh>
    <rPh sb="2" eb="4">
      <t>コウクウ</t>
    </rPh>
    <rPh sb="4" eb="5">
      <t>ケン</t>
    </rPh>
    <phoneticPr fontId="2"/>
  </si>
  <si>
    <t>レンタカー</t>
    <phoneticPr fontId="2"/>
  </si>
  <si>
    <t>※国内航空券、海外航空券、レンタカーのオプションサービスはTypeAをご選択の場合のみお申込みいただけます。</t>
    <rPh sb="1" eb="3">
      <t>コクナイ</t>
    </rPh>
    <rPh sb="3" eb="5">
      <t>コウクウ</t>
    </rPh>
    <rPh sb="5" eb="6">
      <t>ケン</t>
    </rPh>
    <rPh sb="7" eb="9">
      <t>カイガイ</t>
    </rPh>
    <rPh sb="9" eb="11">
      <t>コウクウ</t>
    </rPh>
    <rPh sb="11" eb="12">
      <t>ケン</t>
    </rPh>
    <rPh sb="36" eb="38">
      <t>センタク</t>
    </rPh>
    <rPh sb="39" eb="41">
      <t>バアイ</t>
    </rPh>
    <rPh sb="44" eb="46">
      <t>モウシコ</t>
    </rPh>
    <phoneticPr fontId="2"/>
  </si>
  <si>
    <t>※国内航空券をお申し込みの場合(CB社請求の場合)、請求書は翌月8日の翌々営業日に発行いたします。</t>
    <rPh sb="1" eb="3">
      <t>コクナイ</t>
    </rPh>
    <rPh sb="3" eb="5">
      <t>コウクウ</t>
    </rPh>
    <rPh sb="5" eb="6">
      <t>ケン</t>
    </rPh>
    <rPh sb="8" eb="9">
      <t>モウ</t>
    </rPh>
    <rPh sb="10" eb="11">
      <t>コ</t>
    </rPh>
    <rPh sb="13" eb="15">
      <t>バアイ</t>
    </rPh>
    <rPh sb="18" eb="19">
      <t>シャ</t>
    </rPh>
    <rPh sb="19" eb="21">
      <t>セイキュウ</t>
    </rPh>
    <rPh sb="22" eb="24">
      <t>バアイ</t>
    </rPh>
    <rPh sb="41" eb="43">
      <t>ハッコウ</t>
    </rPh>
    <phoneticPr fontId="2"/>
  </si>
  <si>
    <t>※TypeA(会社請求)、TypeB(個人精算)の両方にお申込みも可能ですが、別アカウントになる(運用・管理が複雑になる)為、推奨しておりません。</t>
    <rPh sb="7" eb="11">
      <t>カイシャセイキュウ</t>
    </rPh>
    <rPh sb="25" eb="27">
      <t>リョウホウ</t>
    </rPh>
    <rPh sb="29" eb="31">
      <t>モウシコ</t>
    </rPh>
    <rPh sb="33" eb="35">
      <t>カノウ</t>
    </rPh>
    <rPh sb="39" eb="40">
      <t>ベツ</t>
    </rPh>
    <rPh sb="49" eb="51">
      <t>ウンヨウ</t>
    </rPh>
    <rPh sb="52" eb="54">
      <t>カンリ</t>
    </rPh>
    <rPh sb="55" eb="57">
      <t>フクザツ</t>
    </rPh>
    <rPh sb="61" eb="62">
      <t>タメ</t>
    </rPh>
    <rPh sb="63" eb="65">
      <t>スイショウ</t>
    </rPh>
    <phoneticPr fontId="2"/>
  </si>
  <si>
    <t>▼楽天のWEBページ等での貴社名・企業ロゴの掲載について　</t>
  </si>
  <si>
    <t>掲載可能</t>
    <rPh sb="0" eb="2">
      <t>ケイサイ</t>
    </rPh>
    <rPh sb="2" eb="4">
      <t>カノウ</t>
    </rPh>
    <phoneticPr fontId="2"/>
  </si>
  <si>
    <t>場合により掲載可能</t>
    <rPh sb="0" eb="2">
      <t>バアイ</t>
    </rPh>
    <rPh sb="5" eb="7">
      <t>ケイサイ</t>
    </rPh>
    <rPh sb="7" eb="9">
      <t>カノウ</t>
    </rPh>
    <phoneticPr fontId="2"/>
  </si>
  <si>
    <t>掲載不可</t>
    <rPh sb="0" eb="2">
      <t>ケイサイ</t>
    </rPh>
    <rPh sb="2" eb="4">
      <t>フカ</t>
    </rPh>
    <phoneticPr fontId="2"/>
  </si>
  <si>
    <t>※掲載をお願いする場合は必ずこちらから事前にご連絡いたします。（事前許可なく使用することはありません。）</t>
    <phoneticPr fontId="2"/>
  </si>
  <si>
    <t>■貴社情報記入欄（＊は必須項目です。必ず選択/ご記入をお願いします。）</t>
    <rPh sb="1" eb="3">
      <t>キシャ</t>
    </rPh>
    <rPh sb="3" eb="5">
      <t>ジョウホウ</t>
    </rPh>
    <rPh sb="5" eb="7">
      <t>キニュウ</t>
    </rPh>
    <rPh sb="7" eb="8">
      <t>ラン</t>
    </rPh>
    <rPh sb="11" eb="13">
      <t>ヒッス</t>
    </rPh>
    <rPh sb="13" eb="15">
      <t>コウモク</t>
    </rPh>
    <rPh sb="18" eb="19">
      <t>カナラ</t>
    </rPh>
    <rPh sb="20" eb="22">
      <t>センタク</t>
    </rPh>
    <rPh sb="24" eb="26">
      <t>キニュウ</t>
    </rPh>
    <rPh sb="28" eb="29">
      <t>ネガイ</t>
    </rPh>
    <phoneticPr fontId="2"/>
  </si>
  <si>
    <t>＊会社名
＊代表者名</t>
    <rPh sb="1" eb="4">
      <t>カイシャメイ</t>
    </rPh>
    <rPh sb="6" eb="8">
      <t>ダイヒョウ</t>
    </rPh>
    <rPh sb="8" eb="9">
      <t>モノ</t>
    </rPh>
    <rPh sb="9" eb="10">
      <t>メイ</t>
    </rPh>
    <phoneticPr fontId="2"/>
  </si>
  <si>
    <t>会社名(かな)</t>
    <rPh sb="0" eb="3">
      <t>カイシャメイ</t>
    </rPh>
    <phoneticPr fontId="2"/>
  </si>
  <si>
    <t>代表者名(かな)</t>
    <rPh sb="0" eb="3">
      <t>ダイヒョウシャ</t>
    </rPh>
    <rPh sb="3" eb="4">
      <t>メイ</t>
    </rPh>
    <phoneticPr fontId="2"/>
  </si>
  <si>
    <t>＊所在地(かな)
（本社住所をビル名までご記入ください）</t>
    <rPh sb="1" eb="4">
      <t>ショザイチ</t>
    </rPh>
    <rPh sb="10" eb="12">
      <t>ホンシャ</t>
    </rPh>
    <rPh sb="12" eb="14">
      <t>ジュウショ</t>
    </rPh>
    <rPh sb="17" eb="18">
      <t>メイ</t>
    </rPh>
    <rPh sb="21" eb="23">
      <t>キニュウ</t>
    </rPh>
    <phoneticPr fontId="2"/>
  </si>
  <si>
    <t>〒郵便番号</t>
    <rPh sb="1" eb="5">
      <t>ユウビンバンゴウ</t>
    </rPh>
    <phoneticPr fontId="2"/>
  </si>
  <si>
    <t>本社住所(かな)</t>
    <rPh sb="0" eb="2">
      <t>ホンシャ</t>
    </rPh>
    <rPh sb="2" eb="4">
      <t>ジュウショ</t>
    </rPh>
    <phoneticPr fontId="2"/>
  </si>
  <si>
    <t>代表番号</t>
    <rPh sb="0" eb="2">
      <t>ダイヒョウ</t>
    </rPh>
    <rPh sb="2" eb="4">
      <t>バンゴウ</t>
    </rPh>
    <phoneticPr fontId="2"/>
  </si>
  <si>
    <t>代表FAX</t>
    <rPh sb="0" eb="2">
      <t>ダイヒョウ</t>
    </rPh>
    <phoneticPr fontId="2"/>
  </si>
  <si>
    <t>上場</t>
    <rPh sb="0" eb="2">
      <t>ジョウジョウ</t>
    </rPh>
    <phoneticPr fontId="2"/>
  </si>
  <si>
    <t>非上場</t>
    <rPh sb="0" eb="1">
      <t>ヒ</t>
    </rPh>
    <rPh sb="1" eb="3">
      <t>ジョウジョウ</t>
    </rPh>
    <phoneticPr fontId="2"/>
  </si>
  <si>
    <t>＊設立年月</t>
    <rPh sb="1" eb="3">
      <t>セツリツ</t>
    </rPh>
    <rPh sb="3" eb="5">
      <t>ネンゲツ</t>
    </rPh>
    <phoneticPr fontId="2"/>
  </si>
  <si>
    <t>西暦</t>
    <rPh sb="0" eb="2">
      <t>セイレキ</t>
    </rPh>
    <phoneticPr fontId="2"/>
  </si>
  <si>
    <t>年</t>
    <rPh sb="0" eb="1">
      <t>ネン</t>
    </rPh>
    <phoneticPr fontId="2"/>
  </si>
  <si>
    <t>月</t>
    <rPh sb="0" eb="1">
      <t>ガツ</t>
    </rPh>
    <phoneticPr fontId="2"/>
  </si>
  <si>
    <t>＊資本金</t>
    <rPh sb="1" eb="4">
      <t>シホンキン</t>
    </rPh>
    <phoneticPr fontId="2"/>
  </si>
  <si>
    <t>万円</t>
    <rPh sb="0" eb="2">
      <t>マンエン</t>
    </rPh>
    <phoneticPr fontId="2"/>
  </si>
  <si>
    <t>＊従業員数</t>
    <rPh sb="1" eb="4">
      <t>ジュウギョウイン</t>
    </rPh>
    <rPh sb="4" eb="5">
      <t>スウ</t>
    </rPh>
    <phoneticPr fontId="2"/>
  </si>
  <si>
    <t>人</t>
    <rPh sb="0" eb="1">
      <t>ニン</t>
    </rPh>
    <phoneticPr fontId="2"/>
  </si>
  <si>
    <t>＊年商</t>
    <rPh sb="1" eb="3">
      <t>ネンショウ</t>
    </rPh>
    <phoneticPr fontId="2"/>
  </si>
  <si>
    <t>＊ホームページURL</t>
    <phoneticPr fontId="2"/>
  </si>
  <si>
    <t>ホームページが存在しない法人様はこちらのチェックをお願いします。</t>
    <rPh sb="7" eb="9">
      <t>ソンザイ</t>
    </rPh>
    <rPh sb="12" eb="15">
      <t>ホウジンサマ</t>
    </rPh>
    <rPh sb="26" eb="27">
      <t>ネガ</t>
    </rPh>
    <phoneticPr fontId="2"/>
  </si>
  <si>
    <r>
      <t>■管理責任者(</t>
    </r>
    <r>
      <rPr>
        <b/>
        <sz val="10"/>
        <rFont val="Meiryo UI"/>
        <family val="3"/>
        <charset val="128"/>
      </rPr>
      <t>※部署名が無い場合は「なし」とご記入ください)</t>
    </r>
    <rPh sb="12" eb="13">
      <t>ナ</t>
    </rPh>
    <rPh sb="14" eb="16">
      <t>バアイ</t>
    </rPh>
    <phoneticPr fontId="2"/>
  </si>
  <si>
    <t>＊管理責任者</t>
    <rPh sb="1" eb="3">
      <t>カンリ</t>
    </rPh>
    <rPh sb="3" eb="5">
      <t>セキニン</t>
    </rPh>
    <rPh sb="5" eb="6">
      <t>シャ</t>
    </rPh>
    <phoneticPr fontId="2"/>
  </si>
  <si>
    <t>ふりがな</t>
    <phoneticPr fontId="2"/>
  </si>
  <si>
    <t>*氏　名</t>
    <rPh sb="1" eb="2">
      <t>シ</t>
    </rPh>
    <rPh sb="3" eb="4">
      <t>メイ</t>
    </rPh>
    <phoneticPr fontId="2"/>
  </si>
  <si>
    <t>*部署名(※)</t>
    <rPh sb="1" eb="3">
      <t>ブショ</t>
    </rPh>
    <rPh sb="3" eb="4">
      <t>メイ</t>
    </rPh>
    <phoneticPr fontId="2"/>
  </si>
  <si>
    <t>＊電話番号</t>
    <rPh sb="1" eb="3">
      <t>デンワ</t>
    </rPh>
    <rPh sb="3" eb="5">
      <t>バンゴウ</t>
    </rPh>
    <phoneticPr fontId="2"/>
  </si>
  <si>
    <t>＊FAX番号</t>
    <rPh sb="4" eb="6">
      <t>バンゴウ</t>
    </rPh>
    <phoneticPr fontId="2"/>
  </si>
  <si>
    <t>＊E-mail</t>
    <phoneticPr fontId="2"/>
  </si>
  <si>
    <t>※フリーメールアドレス不可</t>
    <rPh sb="11" eb="13">
      <t>フカ</t>
    </rPh>
    <phoneticPr fontId="2"/>
  </si>
  <si>
    <t>【ご担当者様へのご案内】
管理責任者・問い合わせ先のアドレス宛てに、Raccoのシステムメンテナンスやイベント、サービスなどに関するお知らせをメールさせていただく場合がございますので、あらかじめご了承ください。
管理責任者・問い合わせ先以外の第三者から、管理画面ログイン用ID/パスワード（2枚目参照）に関するお問合せはセキュリティ上お答えできませんので、ご了承ください。(実務担当者を登録する事を推奨しています)</t>
    <rPh sb="2" eb="3">
      <t>サマ</t>
    </rPh>
    <rPh sb="6" eb="8">
      <t>アンナイ</t>
    </rPh>
    <rPh sb="10" eb="12">
      <t>カンリ</t>
    </rPh>
    <rPh sb="12" eb="14">
      <t>セキニン</t>
    </rPh>
    <rPh sb="14" eb="15">
      <t>シャ</t>
    </rPh>
    <rPh sb="16" eb="17">
      <t>ト</t>
    </rPh>
    <rPh sb="18" eb="19">
      <t>ア</t>
    </rPh>
    <rPh sb="21" eb="22">
      <t>サキ</t>
    </rPh>
    <rPh sb="27" eb="28">
      <t>アテ</t>
    </rPh>
    <rPh sb="103" eb="108">
      <t>カンリセキニンシャ</t>
    </rPh>
    <rPh sb="114" eb="115">
      <t>サキ</t>
    </rPh>
    <rPh sb="115" eb="117">
      <t>イガイ</t>
    </rPh>
    <rPh sb="118" eb="121">
      <t>ダイサンシャ</t>
    </rPh>
    <rPh sb="145" eb="147">
      <t>サンショウ</t>
    </rPh>
    <rPh sb="159" eb="160">
      <t>コタ</t>
    </rPh>
    <rPh sb="166" eb="167">
      <t>ジョウ</t>
    </rPh>
    <rPh sb="175" eb="177">
      <t>リョウショウ</t>
    </rPh>
    <rPh sb="187" eb="189">
      <t>ジツム</t>
    </rPh>
    <rPh sb="189" eb="192">
      <t>タントウシャ</t>
    </rPh>
    <rPh sb="193" eb="195">
      <t>トウロク</t>
    </rPh>
    <rPh sb="197" eb="198">
      <t>コト</t>
    </rPh>
    <rPh sb="199" eb="201">
      <t>スイショウ</t>
    </rPh>
    <phoneticPr fontId="2"/>
  </si>
  <si>
    <r>
      <t>■問い合わせ先</t>
    </r>
    <r>
      <rPr>
        <b/>
        <sz val="10"/>
        <rFont val="Meiryo UI"/>
        <family val="3"/>
        <charset val="128"/>
      </rPr>
      <t>（※管理責任者と異なる場合はこちらもご記入ください　部署名が無い場合は「なし」とご記入ください)</t>
    </r>
    <rPh sb="1" eb="2">
      <t>ト</t>
    </rPh>
    <rPh sb="3" eb="4">
      <t>ア</t>
    </rPh>
    <rPh sb="6" eb="7">
      <t>サキ</t>
    </rPh>
    <rPh sb="9" eb="11">
      <t>カンリ</t>
    </rPh>
    <rPh sb="11" eb="13">
      <t>セキニン</t>
    </rPh>
    <rPh sb="13" eb="14">
      <t>シャ</t>
    </rPh>
    <rPh sb="15" eb="16">
      <t>コト</t>
    </rPh>
    <rPh sb="18" eb="20">
      <t>バアイ</t>
    </rPh>
    <rPh sb="26" eb="28">
      <t>キニュウ</t>
    </rPh>
    <phoneticPr fontId="2"/>
  </si>
  <si>
    <t>問い合わせ先</t>
    <rPh sb="0" eb="1">
      <t>ト</t>
    </rPh>
    <rPh sb="2" eb="3">
      <t>ア</t>
    </rPh>
    <rPh sb="5" eb="6">
      <t>サキ</t>
    </rPh>
    <phoneticPr fontId="2"/>
  </si>
  <si>
    <t>氏　名</t>
    <rPh sb="0" eb="1">
      <t>シ</t>
    </rPh>
    <rPh sb="2" eb="3">
      <t>メイ</t>
    </rPh>
    <phoneticPr fontId="2"/>
  </si>
  <si>
    <t>部署名(※)</t>
    <rPh sb="0" eb="2">
      <t>ブショ</t>
    </rPh>
    <rPh sb="2" eb="3">
      <t>メイ</t>
    </rPh>
    <phoneticPr fontId="2"/>
  </si>
  <si>
    <t>電話番号</t>
    <rPh sb="0" eb="2">
      <t>デンワ</t>
    </rPh>
    <rPh sb="2" eb="4">
      <t>バンゴウ</t>
    </rPh>
    <phoneticPr fontId="2"/>
  </si>
  <si>
    <t>FAX番号</t>
    <rPh sb="3" eb="5">
      <t>バンゴウ</t>
    </rPh>
    <phoneticPr fontId="2"/>
  </si>
  <si>
    <t>E-mail</t>
    <phoneticPr fontId="2"/>
  </si>
  <si>
    <t>■貴社の出張に関する事項について</t>
    <rPh sb="1" eb="3">
      <t>キシャ</t>
    </rPh>
    <rPh sb="4" eb="6">
      <t>シュッチョウ</t>
    </rPh>
    <rPh sb="7" eb="8">
      <t>カン</t>
    </rPh>
    <rPh sb="10" eb="12">
      <t>ジコウ</t>
    </rPh>
    <phoneticPr fontId="2"/>
  </si>
  <si>
    <t>＊利用見込額/月
(毎月の平均利用額をご記入ください)</t>
    <rPh sb="1" eb="3">
      <t>リヨウ</t>
    </rPh>
    <rPh sb="3" eb="5">
      <t>ミコミ</t>
    </rPh>
    <rPh sb="5" eb="6">
      <t>ガク</t>
    </rPh>
    <rPh sb="6" eb="8">
      <t>ツキ</t>
    </rPh>
    <rPh sb="10" eb="12">
      <t>マイツキ</t>
    </rPh>
    <rPh sb="13" eb="15">
      <t>ヘイキン</t>
    </rPh>
    <rPh sb="15" eb="18">
      <t>リヨウガク</t>
    </rPh>
    <rPh sb="20" eb="22">
      <t>キニュウ</t>
    </rPh>
    <phoneticPr fontId="2"/>
  </si>
  <si>
    <t xml:space="preserve"> 国内ホテル </t>
    <rPh sb="1" eb="3">
      <t>コクナイ</t>
    </rPh>
    <phoneticPr fontId="2"/>
  </si>
  <si>
    <t>＊必須</t>
  </si>
  <si>
    <t>円/月</t>
    <rPh sb="0" eb="1">
      <t>エン</t>
    </rPh>
    <rPh sb="2" eb="3">
      <t>ツキ</t>
    </rPh>
    <phoneticPr fontId="2"/>
  </si>
  <si>
    <t>利用見込額合計/月
(全サービス)</t>
    <rPh sb="0" eb="1">
      <t>ヨウ</t>
    </rPh>
    <rPh sb="1" eb="2">
      <t>リヨウ</t>
    </rPh>
    <rPh sb="2" eb="3">
      <t>ガク</t>
    </rPh>
    <rPh sb="3" eb="5">
      <t>ゴウケイ</t>
    </rPh>
    <rPh sb="7" eb="9">
      <t>ツキ</t>
    </rPh>
    <rPh sb="11" eb="12">
      <t>ゼン</t>
    </rPh>
    <phoneticPr fontId="2"/>
  </si>
  <si>
    <t xml:space="preserve"> 国内航空券</t>
    <rPh sb="1" eb="3">
      <t>コクナイ</t>
    </rPh>
    <rPh sb="3" eb="5">
      <t>コウクウ</t>
    </rPh>
    <rPh sb="5" eb="6">
      <t>ケン</t>
    </rPh>
    <phoneticPr fontId="2"/>
  </si>
  <si>
    <t>※オプションにチェックした場合はご記入ください</t>
    <rPh sb="17" eb="19">
      <t>キニュウ</t>
    </rPh>
    <phoneticPr fontId="2"/>
  </si>
  <si>
    <t xml:space="preserve"> 海外航空券</t>
  </si>
  <si>
    <t>※オプションにチェックした場合はご記入ください</t>
    <phoneticPr fontId="2"/>
  </si>
  <si>
    <t>国内レンタカー</t>
    <rPh sb="0" eb="2">
      <t>コクナイ</t>
    </rPh>
    <phoneticPr fontId="2"/>
  </si>
  <si>
    <t>＊最大利用額</t>
    <phoneticPr fontId="2"/>
  </si>
  <si>
    <t>※年間で最も多い月の金額をご記入ください</t>
    <phoneticPr fontId="2"/>
  </si>
  <si>
    <t>弊社記入欄・・・ 申告利用額 (法人→RT)</t>
    <phoneticPr fontId="2"/>
  </si>
  <si>
    <t>円</t>
    <rPh sb="0" eb="1">
      <t>エン</t>
    </rPh>
    <phoneticPr fontId="2"/>
  </si>
  <si>
    <t>※未来の予約分・未精算分も含め、
最大利用額×(N＋2)で計算</t>
    <phoneticPr fontId="2"/>
  </si>
  <si>
    <t>■管理画面ログイン用ID/パスワード設定</t>
    <rPh sb="1" eb="3">
      <t>カンリ</t>
    </rPh>
    <rPh sb="3" eb="5">
      <t>ガメン</t>
    </rPh>
    <rPh sb="9" eb="10">
      <t>ヨウ</t>
    </rPh>
    <rPh sb="18" eb="20">
      <t>セッテイ</t>
    </rPh>
    <phoneticPr fontId="2"/>
  </si>
  <si>
    <t>（2枚目）</t>
    <rPh sb="2" eb="4">
      <t>マイメ</t>
    </rPh>
    <phoneticPr fontId="2"/>
  </si>
  <si>
    <t>文字数
カウント</t>
    <rPh sb="0" eb="3">
      <t>モジスウ</t>
    </rPh>
    <phoneticPr fontId="2"/>
  </si>
  <si>
    <t>＊法人ID</t>
    <rPh sb="1" eb="3">
      <t>ホウジン</t>
    </rPh>
    <phoneticPr fontId="2"/>
  </si>
  <si>
    <t>第1希望</t>
    <rPh sb="0" eb="1">
      <t>ダイ</t>
    </rPh>
    <rPh sb="2" eb="4">
      <t>キボウ</t>
    </rPh>
    <phoneticPr fontId="2"/>
  </si>
  <si>
    <r>
      <t xml:space="preserve">【入力ルール】
</t>
    </r>
    <r>
      <rPr>
        <b/>
        <sz val="8"/>
        <color rgb="FFFF0000"/>
        <rFont val="Meiryo UI"/>
        <family val="3"/>
        <charset val="128"/>
      </rPr>
      <t>・英数小文字混在
・8文字以上20文字以内
・記号-(ﾊｲﾌﾝ) .(ﾋﾟﾘｵﾄﾞ)は末尾以外使用可能
・ID/パスワードの重複不可</t>
    </r>
    <rPh sb="51" eb="55">
      <t>マツビイガイ</t>
    </rPh>
    <rPh sb="55" eb="57">
      <t>シヨウ</t>
    </rPh>
    <rPh sb="70" eb="72">
      <t>チョウフク</t>
    </rPh>
    <rPh sb="72" eb="74">
      <t>フカ</t>
    </rPh>
    <phoneticPr fontId="2"/>
  </si>
  <si>
    <t>第2希望</t>
    <rPh sb="0" eb="1">
      <t>ダイ</t>
    </rPh>
    <rPh sb="2" eb="4">
      <t>キボウ</t>
    </rPh>
    <phoneticPr fontId="2"/>
  </si>
  <si>
    <t>＊ID/上級管理者認証コード</t>
    <rPh sb="4" eb="9">
      <t>ジョウキュウカンリシャ</t>
    </rPh>
    <rPh sb="9" eb="11">
      <t>ニンショウ</t>
    </rPh>
    <phoneticPr fontId="2"/>
  </si>
  <si>
    <t>＊パスワード</t>
    <phoneticPr fontId="2"/>
  </si>
  <si>
    <t>■楽天ポイントについて</t>
    <phoneticPr fontId="2"/>
  </si>
  <si>
    <t>＊楽天ポイントを付与しますか？</t>
    <rPh sb="1" eb="3">
      <t>ラクテン</t>
    </rPh>
    <rPh sb="8" eb="10">
      <t>フヨ</t>
    </rPh>
    <phoneticPr fontId="2"/>
  </si>
  <si>
    <t>付与する（推奨）</t>
    <rPh sb="0" eb="2">
      <t>フヨ</t>
    </rPh>
    <rPh sb="5" eb="7">
      <t>スイショウ</t>
    </rPh>
    <phoneticPr fontId="2"/>
  </si>
  <si>
    <t>付与しない</t>
    <rPh sb="0" eb="2">
      <t>フヨ</t>
    </rPh>
    <phoneticPr fontId="2"/>
  </si>
  <si>
    <t>■貴社の現在の出張規程について</t>
    <rPh sb="1" eb="3">
      <t>キシャ</t>
    </rPh>
    <rPh sb="4" eb="6">
      <t>ゲンザイ</t>
    </rPh>
    <rPh sb="7" eb="9">
      <t>シュッチョウ</t>
    </rPh>
    <rPh sb="9" eb="11">
      <t>キテイ</t>
    </rPh>
    <phoneticPr fontId="2"/>
  </si>
  <si>
    <t>宿泊上限金額</t>
    <rPh sb="0" eb="2">
      <t>シュクハク</t>
    </rPh>
    <rPh sb="2" eb="4">
      <t>ジョウゲン</t>
    </rPh>
    <rPh sb="4" eb="6">
      <t>キンガク</t>
    </rPh>
    <phoneticPr fontId="2"/>
  </si>
  <si>
    <t>規程あり</t>
    <rPh sb="0" eb="2">
      <t>キテイ</t>
    </rPh>
    <phoneticPr fontId="2"/>
  </si>
  <si>
    <t>規程なし</t>
    <rPh sb="0" eb="2">
      <t>キテイ</t>
    </rPh>
    <phoneticPr fontId="2"/>
  </si>
  <si>
    <t>金券付プラン</t>
    <rPh sb="0" eb="1">
      <t>キン</t>
    </rPh>
    <rPh sb="1" eb="2">
      <t>ケン</t>
    </rPh>
    <rPh sb="2" eb="3">
      <t>ツキ</t>
    </rPh>
    <phoneticPr fontId="2"/>
  </si>
  <si>
    <t>禁止している</t>
    <rPh sb="0" eb="2">
      <t>キンシ</t>
    </rPh>
    <phoneticPr fontId="2"/>
  </si>
  <si>
    <t>特に規程なし</t>
    <rPh sb="0" eb="1">
      <t>トク</t>
    </rPh>
    <rPh sb="2" eb="4">
      <t>キテイ</t>
    </rPh>
    <phoneticPr fontId="2"/>
  </si>
  <si>
    <t>出張の多いエリア</t>
    <rPh sb="0" eb="2">
      <t>シュッチョウ</t>
    </rPh>
    <rPh sb="3" eb="4">
      <t>オオ</t>
    </rPh>
    <phoneticPr fontId="2"/>
  </si>
  <si>
    <t>北海道</t>
    <rPh sb="0" eb="3">
      <t>ホッカイドウ</t>
    </rPh>
    <phoneticPr fontId="2"/>
  </si>
  <si>
    <t>東北</t>
    <rPh sb="0" eb="2">
      <t>トウホク</t>
    </rPh>
    <phoneticPr fontId="2"/>
  </si>
  <si>
    <t>関東</t>
    <rPh sb="0" eb="2">
      <t>カントウ</t>
    </rPh>
    <phoneticPr fontId="2"/>
  </si>
  <si>
    <t>中部</t>
    <rPh sb="0" eb="2">
      <t>チュウブ</t>
    </rPh>
    <phoneticPr fontId="2"/>
  </si>
  <si>
    <t>近畿</t>
    <rPh sb="0" eb="2">
      <t>キンキ</t>
    </rPh>
    <phoneticPr fontId="2"/>
  </si>
  <si>
    <t>中国</t>
    <rPh sb="0" eb="2">
      <t>チュウゴク</t>
    </rPh>
    <phoneticPr fontId="2"/>
  </si>
  <si>
    <t>四国</t>
    <rPh sb="0" eb="2">
      <t>シコク</t>
    </rPh>
    <phoneticPr fontId="2"/>
  </si>
  <si>
    <t>九州</t>
    <rPh sb="0" eb="2">
      <t>キュウシュウ</t>
    </rPh>
    <phoneticPr fontId="2"/>
  </si>
  <si>
    <t>▼　以下は、TypeAにお申込みの場合のみご記入ください　▼　</t>
    <rPh sb="2" eb="4">
      <t>イカ</t>
    </rPh>
    <rPh sb="13" eb="15">
      <t>モウシコ</t>
    </rPh>
    <rPh sb="17" eb="19">
      <t>バアイ</t>
    </rPh>
    <rPh sb="22" eb="24">
      <t>キニュウ</t>
    </rPh>
    <phoneticPr fontId="2"/>
  </si>
  <si>
    <t>お支払い日</t>
    <rPh sb="1" eb="3">
      <t>シハラ</t>
    </rPh>
    <rPh sb="4" eb="5">
      <t>ビ</t>
    </rPh>
    <phoneticPr fontId="2"/>
  </si>
  <si>
    <t>月末締めの翌月末日（最終銀行営業日）払い ※振込み手数料はお申込法人様負担となります</t>
    <rPh sb="0" eb="2">
      <t>ゲツマツ</t>
    </rPh>
    <rPh sb="2" eb="3">
      <t>シ</t>
    </rPh>
    <rPh sb="5" eb="7">
      <t>ヨクゲツ</t>
    </rPh>
    <rPh sb="7" eb="8">
      <t>マツ</t>
    </rPh>
    <rPh sb="8" eb="9">
      <t>ビ</t>
    </rPh>
    <rPh sb="10" eb="12">
      <t>サイシュウ</t>
    </rPh>
    <rPh sb="12" eb="14">
      <t>ギンコウ</t>
    </rPh>
    <rPh sb="14" eb="17">
      <t>エイギョウビ</t>
    </rPh>
    <rPh sb="18" eb="19">
      <t>ハラ</t>
    </rPh>
    <rPh sb="22" eb="24">
      <t>フリコ</t>
    </rPh>
    <rPh sb="25" eb="28">
      <t>テスウリョウ</t>
    </rPh>
    <rPh sb="30" eb="32">
      <t>モウシコミ</t>
    </rPh>
    <rPh sb="32" eb="34">
      <t>ホウジン</t>
    </rPh>
    <rPh sb="34" eb="35">
      <t>サマ</t>
    </rPh>
    <rPh sb="35" eb="37">
      <t>フタン</t>
    </rPh>
    <phoneticPr fontId="2"/>
  </si>
  <si>
    <t>確認した</t>
    <rPh sb="0" eb="2">
      <t>カクニン</t>
    </rPh>
    <phoneticPr fontId="2"/>
  </si>
  <si>
    <t>ご請求
スケジュール</t>
    <rPh sb="1" eb="3">
      <t>セイキュウ</t>
    </rPh>
    <phoneticPr fontId="2"/>
  </si>
  <si>
    <t>【国内航空券のお申込みがない場合】　※ご利用月を基準
翌月1日：請求データの発行（CSV）
翌月2営業日：「精算書兼請求書」の発行（PDF）</t>
    <rPh sb="20" eb="22">
      <t>リヨウ</t>
    </rPh>
    <rPh sb="22" eb="23">
      <t>ツキ</t>
    </rPh>
    <rPh sb="24" eb="26">
      <t>キジュン</t>
    </rPh>
    <rPh sb="27" eb="29">
      <t>ヨクゲツ</t>
    </rPh>
    <rPh sb="38" eb="40">
      <t>ハッコウ</t>
    </rPh>
    <rPh sb="46" eb="48">
      <t>ヨクゲツ</t>
    </rPh>
    <rPh sb="49" eb="52">
      <t>エイギョウビ</t>
    </rPh>
    <phoneticPr fontId="2"/>
  </si>
  <si>
    <t>【国内航空券のお申込みがある場合】　※ご利用月を基準
翌月9日：請求データの発行（CSV）
翌月8日の翌々営業日：「精算書兼請求書」の発行（PDF）</t>
    <rPh sb="38" eb="40">
      <t>ハッコウ</t>
    </rPh>
    <phoneticPr fontId="2"/>
  </si>
  <si>
    <t>※審査の結果、上限金額ありの場合、国内航空券の契約有無に関わらず、【国内航空券のお申込みがある場合】と同様のご請求スケジュールとなります。
※上限金額ありの場合の請求書は、翌月8日の翌々営業日20時を目途に、請求担当者宛にメールが送付されます。管理画面から請求書ダウンロードはできませんのでご注意ください。</t>
  </si>
  <si>
    <r>
      <rPr>
        <b/>
        <sz val="12"/>
        <color rgb="FF000000"/>
        <rFont val="Meiryo UI"/>
        <family val="3"/>
        <charset val="128"/>
      </rPr>
      <t>■請求について　</t>
    </r>
    <r>
      <rPr>
        <sz val="9"/>
        <color rgb="FFFF0000"/>
        <rFont val="Meiryo UI"/>
        <family val="3"/>
        <charset val="128"/>
      </rPr>
      <t>※審査結果によって請求ルールが異なりますので、詳しくはアカウント開設メールをご確認下さい。</t>
    </r>
    <phoneticPr fontId="2"/>
  </si>
  <si>
    <t>＊請求担当者
   「管理責任者」に同じ
　   「問い合わせ先」に同じ</t>
    <rPh sb="1" eb="3">
      <t>セイキュウ</t>
    </rPh>
    <rPh sb="3" eb="6">
      <t>タントウシャ</t>
    </rPh>
    <rPh sb="11" eb="16">
      <t>カンリセキニンシャ</t>
    </rPh>
    <rPh sb="18" eb="19">
      <t>オナ</t>
    </rPh>
    <rPh sb="26" eb="27">
      <t>ト</t>
    </rPh>
    <rPh sb="28" eb="29">
      <t>ア</t>
    </rPh>
    <rPh sb="31" eb="32">
      <t>サキ</t>
    </rPh>
    <rPh sb="34" eb="35">
      <t>オナ</t>
    </rPh>
    <phoneticPr fontId="2"/>
  </si>
  <si>
    <t>＊ご担当者名</t>
    <rPh sb="2" eb="5">
      <t>タントウシャ</t>
    </rPh>
    <rPh sb="5" eb="6">
      <t>メイ</t>
    </rPh>
    <phoneticPr fontId="2"/>
  </si>
  <si>
    <t>＊部署名</t>
    <rPh sb="1" eb="3">
      <t>ブショ</t>
    </rPh>
    <rPh sb="3" eb="4">
      <t>メイ</t>
    </rPh>
    <phoneticPr fontId="2"/>
  </si>
  <si>
    <t>＊電話番号</t>
    <rPh sb="1" eb="5">
      <t>デンワバンゴウ</t>
    </rPh>
    <phoneticPr fontId="2"/>
  </si>
  <si>
    <t>※下記注意事項を必ずご確認いただきますようお願いいたします。</t>
    <phoneticPr fontId="2"/>
  </si>
  <si>
    <t>確認した</t>
    <phoneticPr fontId="2"/>
  </si>
  <si>
    <t>●お申込みに際してのご注意事項●
・「E-mail」に、フリーメールのアドレスはご使用できません。 
・「管理責任者」は楽天グループよりご提供する管理画面上の情報の管理や、利用登録されている社員情報の閲覧・編集などの管理ができるご担当部署の責任者のことを指します。 
・担当者になられていない第三者へ法人ID・上級管理者認証コード・パスワードをお伝えする事が出来ませんのでご了承ください。
・「法人ID」にご記入いただいたIDが、既に他の法人様にてご使用されている場合などはご希望に沿えない場合もございますので、ご了承ください。
　また、一度ご登録いただいた法人IDは変更ができませんので、ご記入いただく際にはご注意ください。
【楽天ポイントについて】
・楽天ポイント(100円＝1ポイント)を、ログイン時の楽天IDに付与する・しないの選択が可能です。付与しないを選択した場合は権利放棄となります。 
【TypeA（会社請求）のお支払いサイクルについて】
・ご利用代金のお支払いサイクルについては原則、「宿泊月末締めの翌月末日（最終銀行営業日）払い」とさせていただきます。
【与信審査について】
・お申込みに際し利用審査がございます。楽天グループ㈱指定の信用調査機関の判断等によりご利用のお断りをする場合がございます。
・TypeAのお申込みに際しては、与信審査の内容によっては決算書類のご提出、保証金の預け入れのお願いする場合がございます。 
　※保証金が発生した場合、保証金とお引き換えに楽天グループ㈱から預り証を発行させていただきます。ご解約時に、保証金の全額を返還させていただきます。 
　※お申込み時の審査通過後も楽天グループ㈱指定の信用調査機関にて調査を行う場合があります。 
　※ご利用になるサービスに追加・変更が発生した際に改めて楽天グループ株式会社指定の信用調査機関にて調査を行う場合があります。
　　その場合保証金の金額も変更することがありますのでご了承ください。
【請求代行業者からの請求書発行となる場合】　　
※弊社は株式会社キャッチボール(CB社)が提供する『掛払い.com』を導入しております。当サービスご利用の場合は、以下、4つの注意事項をご確認ください。
　①ご請求書の発送元がCB社になる場合があり、その際はお支払い先も同社になり、ご請求スケジュールは【国内航空券のお申込みがある場合】と同様のタイミングとなりますのでご了承ください。
　②契約法人様の個人情報および発注内容は、CB社が行う与信および請求関連業務に必要な範囲のみで、CB社に提供させていただきます。
　③与信結果によっては当サービスをご利用いただけない場合がございます。
　④当サービスをご利用いただいた場合は、上記注意事項にご同意いただいたものとみなさせていただきます。
【国内航空券をお申込の場合】
・国内航空券をお申込の場合、請求書は翌月8日の翌々営業日に発行致します。
・JALONLINEにつきまして、本申込書から利用希望をいただけましたら、別途お申込は不要でございます。
 お申込から利用開始まで約2週間ほどかかります。利用開始の際はご連絡させていただきます。JALのご判断により楽天トラベルRacco経由でのご利用をお断りさせて頂く場合がございます。
・ANABizの利用申込につきまして、貴社からJCBへの別途お申込が必須となります。JCBの独自の審査があり、審査結果によってサービスをご利用いただけない可能性がございます。
 また、ANABizはお申込から利用開始まで1か月～1か月半ほどかかります。ご利用開始の際は、ANABizよりご連絡が入りますのでご了承ください。
・Raccoの利用契約を解除又は終了した場合、Raccoをご利用の上ご購入いただいた航空券が、事前のお知らせもなく強制的に無効となる場合がございます。
  詳細については、航空券の販売業者にお問い合わせください。
【レンタカーをお申込みの場合】
・レンタカー貸渡の当日に、オプションの変更をされる場合について現地でオプション変更により料金が発生した場合は、現地でのお支払いとなります。
  一括精算に含める場合は、金額変更の適用が次月度以降の請求（２回に分かれて月ずれで請求が発生）となることがございます。
*オプション変更とは保険加入、クラス変更等、その他金額の変動が発生するものをさします。*変更内容については直接レンタカー会社へお問い合わせください。
・Racco取り扱いレンタカー会社は地方の小さなレンタカー会社もわずかにございますがオリックスレンタカーがメインとなり、トヨタレンタカー、ニッポンレンタカー、日産レンタカーなどの扱いはございません。
＊オリックスレンタカーは全国に営業所はあるものの貴社が頻繁に利用するご出張エリアに営業所がない、または在庫が少ない場合もございます。                          
 【申込内容の変更について】
・申込内容に変更が発生した場合は、管理画面より『変更届』をダウンロードいただきご提出をお願いいたします。 なお、TypeA／Bの切替、航空券の途中追加・解約は禁止といたします。</t>
    <phoneticPr fontId="2"/>
  </si>
  <si>
    <t>2025年3月現在</t>
    <phoneticPr fontId="2"/>
  </si>
  <si>
    <t>らくてんぐるーぷかぶしきがいしゃ</t>
    <phoneticPr fontId="2"/>
  </si>
  <si>
    <t>みきたに　ひろし</t>
    <phoneticPr fontId="2"/>
  </si>
  <si>
    <t>楽天グループ株式会社</t>
    <phoneticPr fontId="2"/>
  </si>
  <si>
    <t>三木谷 浩史</t>
    <phoneticPr fontId="2"/>
  </si>
  <si>
    <t>とうきょうとせたがやくたまがわ1ちょうめ14－１　らくてんくりむぞんはうす</t>
    <phoneticPr fontId="2"/>
  </si>
  <si>
    <t>158-0094</t>
    <phoneticPr fontId="2"/>
  </si>
  <si>
    <t>東京都世田谷区玉川一丁目14番1号　楽天クリムゾンハウス</t>
    <phoneticPr fontId="2"/>
  </si>
  <si>
    <t>050-5581-6910</t>
    <phoneticPr fontId="2"/>
  </si>
  <si>
    <t>https://corp.rakuten.co.jp/</t>
    <phoneticPr fontId="2"/>
  </si>
  <si>
    <t>らくてん　たろう</t>
    <phoneticPr fontId="2"/>
  </si>
  <si>
    <t>そうむじんじか</t>
    <phoneticPr fontId="2"/>
  </si>
  <si>
    <t>楽天　太郎</t>
    <rPh sb="0" eb="2">
      <t>ラクテン</t>
    </rPh>
    <rPh sb="3" eb="5">
      <t>タロウ</t>
    </rPh>
    <phoneticPr fontId="2"/>
  </si>
  <si>
    <t>総務部人事課</t>
    <rPh sb="0" eb="6">
      <t>ソウムブジンジカ</t>
    </rPh>
    <phoneticPr fontId="2"/>
  </si>
  <si>
    <t>tato.rakuten@rakuten.com</t>
    <phoneticPr fontId="2"/>
  </si>
  <si>
    <t>rakutentaro1234</t>
    <phoneticPr fontId="2"/>
  </si>
  <si>
    <t>rakutentaro5678</t>
    <phoneticPr fontId="2"/>
  </si>
  <si>
    <t>rakuten.taro1234</t>
    <phoneticPr fontId="2"/>
  </si>
  <si>
    <t>taro.rakuten5678</t>
    <phoneticPr fontId="2"/>
  </si>
  <si>
    <t>らくてん　じろう</t>
    <phoneticPr fontId="2"/>
  </si>
  <si>
    <t>＊ご担当者名</t>
    <rPh sb="2" eb="6">
      <t>タントウシャメイ</t>
    </rPh>
    <phoneticPr fontId="2"/>
  </si>
  <si>
    <t>楽天　二郎</t>
    <rPh sb="0" eb="2">
      <t>ラクテン</t>
    </rPh>
    <rPh sb="3" eb="5">
      <t>ジロウ</t>
    </rPh>
    <phoneticPr fontId="2"/>
  </si>
  <si>
    <t>＊部署名</t>
    <rPh sb="1" eb="3">
      <t>ブショ</t>
    </rPh>
    <rPh sb="3" eb="4">
      <t>メイメイ</t>
    </rPh>
    <phoneticPr fontId="2"/>
  </si>
  <si>
    <t>総務人事課</t>
    <rPh sb="0" eb="5">
      <t>ソウムジンジカ</t>
    </rPh>
    <phoneticPr fontId="2"/>
  </si>
  <si>
    <t>050-5581-6912</t>
    <phoneticPr fontId="2"/>
  </si>
  <si>
    <t>jiro.rakuten@rakuten.com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</si>
</sst>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lt;=999]000;[&lt;=9999]000\-00;000\-0000"/>
    <numFmt numFmtId="177" formatCode="#,##0&quot;円/月&quot;"/>
  </numFmts>
  <fonts count="40">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1"/>
      <color theme="1"/>
      <name val="Meiryo UI"/>
      <family val="3"/>
      <charset val="128"/>
    </font>
    <font>
      <sz val="9"/>
      <color theme="1"/>
      <name val="Meiryo UI"/>
      <family val="3"/>
      <charset val="128"/>
    </font>
    <font>
      <sz val="16"/>
      <color theme="1"/>
      <name val="Meiryo UI"/>
      <family val="3"/>
      <charset val="128"/>
    </font>
    <font>
      <u/>
      <sz val="16"/>
      <color theme="1"/>
      <name val="Meiryo UI"/>
      <family val="3"/>
      <charset val="128"/>
    </font>
    <font>
      <b/>
      <sz val="16"/>
      <color theme="0"/>
      <name val="Meiryo UI"/>
      <family val="3"/>
      <charset val="128"/>
    </font>
    <font>
      <sz val="11"/>
      <name val="Meiryo UI"/>
      <family val="3"/>
      <charset val="128"/>
    </font>
    <font>
      <sz val="10"/>
      <name val="Meiryo UI"/>
      <family val="3"/>
      <charset val="128"/>
    </font>
    <font>
      <sz val="12"/>
      <name val="Meiryo UI"/>
      <family val="3"/>
      <charset val="128"/>
    </font>
    <font>
      <sz val="8"/>
      <name val="Meiryo UI"/>
      <family val="3"/>
      <charset val="128"/>
    </font>
    <font>
      <sz val="9"/>
      <name val="Meiryo UI"/>
      <family val="3"/>
      <charset val="128"/>
    </font>
    <font>
      <b/>
      <sz val="9"/>
      <name val="Meiryo UI"/>
      <family val="3"/>
      <charset val="128"/>
    </font>
    <font>
      <b/>
      <sz val="6"/>
      <name val="Meiryo UI"/>
      <family val="3"/>
      <charset val="128"/>
    </font>
    <font>
      <b/>
      <sz val="11"/>
      <color theme="1"/>
      <name val="Meiryo UI"/>
      <family val="3"/>
      <charset val="128"/>
    </font>
    <font>
      <sz val="8"/>
      <color theme="1"/>
      <name val="Meiryo UI"/>
      <family val="3"/>
      <charset val="128"/>
    </font>
    <font>
      <b/>
      <sz val="8"/>
      <color theme="1"/>
      <name val="Meiryo UI"/>
      <family val="3"/>
      <charset val="128"/>
    </font>
    <font>
      <sz val="10"/>
      <color theme="1"/>
      <name val="Meiryo UI"/>
      <family val="3"/>
      <charset val="128"/>
    </font>
    <font>
      <sz val="12"/>
      <color theme="1"/>
      <name val="Meiryo UI"/>
      <family val="3"/>
      <charset val="128"/>
    </font>
    <font>
      <sz val="8"/>
      <color rgb="FFFF0000"/>
      <name val="Meiryo UI"/>
      <family val="3"/>
      <charset val="128"/>
    </font>
    <font>
      <u/>
      <sz val="11"/>
      <color theme="10"/>
      <name val="Meiryo UI"/>
      <family val="3"/>
      <charset val="128"/>
    </font>
    <font>
      <sz val="7"/>
      <color theme="1"/>
      <name val="Meiryo UI"/>
      <family val="3"/>
      <charset val="128"/>
    </font>
    <font>
      <b/>
      <sz val="8"/>
      <color rgb="FFFF0000"/>
      <name val="Meiryo UI"/>
      <family val="3"/>
      <charset val="128"/>
    </font>
    <font>
      <sz val="11"/>
      <color rgb="FFFF0000"/>
      <name val="Meiryo UI"/>
      <family val="3"/>
      <charset val="128"/>
    </font>
    <font>
      <u/>
      <sz val="8"/>
      <color theme="10"/>
      <name val="Meiryo UI"/>
      <family val="3"/>
      <charset val="128"/>
    </font>
    <font>
      <sz val="9"/>
      <color rgb="FFFF0000"/>
      <name val="Meiryo UI"/>
      <family val="3"/>
      <charset val="128"/>
    </font>
    <font>
      <b/>
      <sz val="9"/>
      <color rgb="FFFF0000"/>
      <name val="Meiryo UI"/>
      <family val="3"/>
      <charset val="128"/>
    </font>
    <font>
      <sz val="10"/>
      <color rgb="FFFF0000"/>
      <name val="Meiryo UI"/>
      <family val="3"/>
      <charset val="128"/>
    </font>
    <font>
      <sz val="9"/>
      <color theme="1" tint="0.249977111117893"/>
      <name val="Meiryo UI"/>
      <family val="3"/>
      <charset val="128"/>
    </font>
    <font>
      <b/>
      <sz val="12"/>
      <color theme="1"/>
      <name val="Meiryo UI"/>
      <family val="3"/>
      <charset val="128"/>
    </font>
    <font>
      <b/>
      <sz val="12"/>
      <color rgb="FF000000"/>
      <name val="Meiryo UI"/>
      <family val="3"/>
      <charset val="128"/>
    </font>
    <font>
      <b/>
      <sz val="12"/>
      <name val="Meiryo UI"/>
      <family val="3"/>
      <charset val="128"/>
    </font>
    <font>
      <b/>
      <sz val="10"/>
      <name val="Meiryo UI"/>
      <family val="3"/>
      <charset val="128"/>
    </font>
    <font>
      <sz val="9"/>
      <color theme="0" tint="-0.499984740745262"/>
      <name val="Meiryo UI"/>
      <family val="3"/>
      <charset val="128"/>
    </font>
    <font>
      <sz val="12"/>
      <color theme="0" tint="-0.499984740745262"/>
      <name val="Meiryo UI"/>
      <family val="3"/>
      <charset val="128"/>
    </font>
    <font>
      <sz val="8"/>
      <color theme="0" tint="-0.499984740745262"/>
      <name val="Meiryo UI"/>
      <family val="3"/>
      <charset val="128"/>
    </font>
    <font>
      <sz val="6"/>
      <color theme="0" tint="-0.499984740745262"/>
      <name val="Meiryo UI"/>
      <family val="3"/>
      <charset val="128"/>
    </font>
    <font>
      <b/>
      <sz val="6"/>
      <color rgb="FFFF0000"/>
      <name val="Meiryo UI"/>
      <family val="3"/>
      <charset val="128"/>
    </font>
  </fonts>
  <fills count="8">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249977111117893"/>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bottom style="thin">
        <color indexed="64"/>
      </bottom>
      <diagonal/>
    </border>
    <border>
      <left/>
      <right style="dotted">
        <color indexed="64"/>
      </right>
      <top style="thin">
        <color indexed="64"/>
      </top>
      <bottom style="thin">
        <color indexed="64"/>
      </bottom>
      <diagonal/>
    </border>
    <border>
      <left style="thin">
        <color indexed="64"/>
      </left>
      <right/>
      <top style="dotted">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thin">
        <color indexed="64"/>
      </top>
      <bottom/>
      <diagonal/>
    </border>
    <border>
      <left/>
      <right style="hair">
        <color indexed="64"/>
      </right>
      <top/>
      <bottom style="thin">
        <color indexed="64"/>
      </bottom>
      <diagonal/>
    </border>
    <border>
      <left/>
      <right/>
      <top/>
      <bottom style="hair">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dotted">
        <color indexed="64"/>
      </bottom>
      <diagonal/>
    </border>
    <border>
      <left/>
      <right style="medium">
        <color indexed="64"/>
      </right>
      <top style="dotted">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bottom style="thin">
        <color indexed="64"/>
      </bottom>
      <diagonal/>
    </border>
    <border>
      <left/>
      <right/>
      <top style="thin">
        <color indexed="64"/>
      </top>
      <bottom style="hair">
        <color indexed="64"/>
      </bottom>
      <diagonal/>
    </border>
    <border>
      <left/>
      <right/>
      <top style="hair">
        <color indexed="64"/>
      </top>
      <bottom/>
      <diagonal/>
    </border>
    <border>
      <left/>
      <right style="dotted">
        <color indexed="64"/>
      </right>
      <top/>
      <bottom/>
      <diagonal/>
    </border>
    <border>
      <left style="dotted">
        <color indexed="64"/>
      </left>
      <right/>
      <top/>
      <bottom/>
      <diagonal/>
    </border>
    <border>
      <left style="dotted">
        <color indexed="64"/>
      </left>
      <right/>
      <top style="thin">
        <color indexed="64"/>
      </top>
      <bottom style="dotted">
        <color indexed="64"/>
      </bottom>
      <diagonal/>
    </border>
    <border>
      <left/>
      <right style="dotted">
        <color indexed="64"/>
      </right>
      <top style="dotted">
        <color indexed="64"/>
      </top>
      <bottom/>
      <diagonal/>
    </border>
    <border>
      <left/>
      <right style="dotted">
        <color indexed="64"/>
      </right>
      <top/>
      <bottom style="thin">
        <color indexed="64"/>
      </bottom>
      <diagonal/>
    </border>
    <border>
      <left/>
      <right style="dotted">
        <color indexed="64"/>
      </right>
      <top style="thin">
        <color indexed="64"/>
      </top>
      <bottom style="dotted">
        <color indexed="64"/>
      </bottom>
      <diagonal/>
    </border>
    <border>
      <left style="dotted">
        <color indexed="64"/>
      </left>
      <right/>
      <top style="dotted">
        <color indexed="64"/>
      </top>
      <bottom style="thin">
        <color indexed="64"/>
      </bottom>
      <diagonal/>
    </border>
    <border>
      <left/>
      <right style="dotted">
        <color indexed="64"/>
      </right>
      <top style="dotted">
        <color indexed="64"/>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489">
    <xf numFmtId="0" fontId="0" fillId="0" borderId="0" xfId="0">
      <alignment vertical="center"/>
    </xf>
    <xf numFmtId="0" fontId="4" fillId="0" borderId="3" xfId="0" applyFont="1" applyBorder="1">
      <alignment vertical="center"/>
    </xf>
    <xf numFmtId="0" fontId="6" fillId="0" borderId="0" xfId="0" applyFont="1">
      <alignment vertical="center"/>
    </xf>
    <xf numFmtId="0" fontId="16" fillId="0" borderId="3" xfId="0" applyFont="1" applyBorder="1">
      <alignment vertical="center"/>
    </xf>
    <xf numFmtId="0" fontId="5" fillId="0" borderId="10" xfId="0" applyFont="1" applyBorder="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lignment vertical="center"/>
    </xf>
    <xf numFmtId="0" fontId="4" fillId="0" borderId="0" xfId="0" applyFont="1">
      <alignment vertical="center"/>
    </xf>
    <xf numFmtId="0" fontId="4" fillId="0" borderId="0" xfId="0" applyFont="1" applyAlignment="1">
      <alignment horizontal="center" vertical="center"/>
    </xf>
    <xf numFmtId="0" fontId="4" fillId="0" borderId="0" xfId="0" applyFont="1" applyAlignment="1"/>
    <xf numFmtId="0" fontId="19" fillId="0" borderId="0" xfId="0" applyFont="1">
      <alignment vertical="center"/>
    </xf>
    <xf numFmtId="0" fontId="26" fillId="0" borderId="27" xfId="2" applyFont="1" applyBorder="1">
      <alignment vertical="center"/>
    </xf>
    <xf numFmtId="0" fontId="26" fillId="0" borderId="0" xfId="2" applyFont="1" applyBorder="1">
      <alignment vertical="center"/>
    </xf>
    <xf numFmtId="0" fontId="17" fillId="0" borderId="26" xfId="0" applyFont="1" applyBorder="1">
      <alignment vertical="center"/>
    </xf>
    <xf numFmtId="0" fontId="17" fillId="0" borderId="29" xfId="0" applyFont="1" applyBorder="1">
      <alignment vertical="center"/>
    </xf>
    <xf numFmtId="0" fontId="17" fillId="0" borderId="31" xfId="0" applyFont="1" applyBorder="1" applyAlignment="1">
      <alignment horizontal="left" vertical="center"/>
    </xf>
    <xf numFmtId="0" fontId="19" fillId="0" borderId="11" xfId="0" applyFont="1" applyBorder="1">
      <alignment vertical="center"/>
    </xf>
    <xf numFmtId="0" fontId="11" fillId="3" borderId="0" xfId="0" applyFont="1" applyFill="1">
      <alignment vertical="center"/>
    </xf>
    <xf numFmtId="0" fontId="13" fillId="3" borderId="0" xfId="0" applyFont="1" applyFill="1">
      <alignment vertical="center"/>
    </xf>
    <xf numFmtId="0" fontId="4" fillId="3" borderId="3" xfId="0" applyFont="1" applyFill="1" applyBorder="1">
      <alignment vertical="center"/>
    </xf>
    <xf numFmtId="0" fontId="16" fillId="3" borderId="3" xfId="0" applyFont="1" applyFill="1" applyBorder="1">
      <alignment vertical="center"/>
    </xf>
    <xf numFmtId="0" fontId="4" fillId="3" borderId="8" xfId="0" applyFont="1" applyFill="1" applyBorder="1">
      <alignment vertical="center"/>
    </xf>
    <xf numFmtId="0" fontId="16" fillId="3" borderId="8" xfId="0" applyFont="1" applyFill="1" applyBorder="1">
      <alignment vertical="center"/>
    </xf>
    <xf numFmtId="0" fontId="5" fillId="3" borderId="10" xfId="0" applyFont="1" applyFill="1" applyBorder="1">
      <alignment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2" xfId="0" applyFont="1" applyFill="1" applyBorder="1">
      <alignment vertical="center"/>
    </xf>
    <xf numFmtId="0" fontId="25" fillId="0" borderId="0" xfId="0" applyFo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19" fillId="0" borderId="3" xfId="0" applyFont="1" applyBorder="1" applyAlignment="1">
      <alignment horizontal="center" vertical="center"/>
    </xf>
    <xf numFmtId="0" fontId="5" fillId="0" borderId="11" xfId="0" applyFont="1" applyBorder="1">
      <alignment vertical="center"/>
    </xf>
    <xf numFmtId="0" fontId="5" fillId="0" borderId="11" xfId="0" applyFont="1" applyBorder="1" applyProtection="1">
      <alignment vertical="center"/>
      <protection locked="0"/>
    </xf>
    <xf numFmtId="0" fontId="21" fillId="4" borderId="20" xfId="0" applyFont="1" applyFill="1" applyBorder="1" applyAlignment="1">
      <alignment horizontal="center" vertical="center"/>
    </xf>
    <xf numFmtId="0" fontId="17" fillId="0" borderId="11" xfId="0" applyFont="1" applyBorder="1">
      <alignment vertical="center"/>
    </xf>
    <xf numFmtId="0" fontId="4" fillId="0" borderId="27" xfId="0" applyFont="1" applyBorder="1">
      <alignment vertical="center"/>
    </xf>
    <xf numFmtId="0" fontId="4" fillId="0" borderId="28" xfId="0" applyFont="1" applyBorder="1">
      <alignment vertical="center"/>
    </xf>
    <xf numFmtId="0" fontId="4" fillId="0" borderId="30" xfId="0" applyFont="1" applyBorder="1">
      <alignment vertical="center"/>
    </xf>
    <xf numFmtId="0" fontId="4" fillId="0" borderId="32" xfId="0" applyFont="1" applyBorder="1" applyAlignment="1">
      <alignment horizontal="center" vertical="center"/>
    </xf>
    <xf numFmtId="0" fontId="22" fillId="0" borderId="32" xfId="2" applyFont="1" applyFill="1" applyBorder="1" applyAlignment="1">
      <alignment vertical="center"/>
    </xf>
    <xf numFmtId="0" fontId="4" fillId="0" borderId="33" xfId="0" applyFont="1" applyBorder="1" applyAlignment="1">
      <alignment horizontal="center" vertical="center"/>
    </xf>
    <xf numFmtId="0" fontId="17" fillId="0" borderId="0" xfId="0" applyFont="1">
      <alignment vertical="center"/>
    </xf>
    <xf numFmtId="0" fontId="17" fillId="0" borderId="0" xfId="0" applyFont="1" applyAlignment="1">
      <alignment horizontal="center" vertical="center"/>
    </xf>
    <xf numFmtId="0" fontId="4" fillId="0" borderId="36" xfId="0" applyFont="1" applyBorder="1" applyAlignment="1">
      <alignment horizontal="center" vertical="center"/>
    </xf>
    <xf numFmtId="0" fontId="19" fillId="0" borderId="10" xfId="0" applyFont="1" applyBorder="1" applyAlignment="1">
      <alignment horizontal="left" vertical="center"/>
    </xf>
    <xf numFmtId="0" fontId="19" fillId="0" borderId="12" xfId="0" applyFont="1" applyBorder="1" applyAlignment="1">
      <alignment horizontal="left" vertical="center"/>
    </xf>
    <xf numFmtId="0" fontId="19" fillId="6" borderId="3" xfId="0" applyFont="1" applyFill="1" applyBorder="1">
      <alignment vertical="center"/>
    </xf>
    <xf numFmtId="0" fontId="19" fillId="0" borderId="3" xfId="0" applyFont="1" applyBorder="1" applyAlignment="1">
      <alignment horizontal="left" vertical="center"/>
    </xf>
    <xf numFmtId="0" fontId="20" fillId="0" borderId="11" xfId="0" applyFont="1" applyBorder="1">
      <alignment vertical="center"/>
    </xf>
    <xf numFmtId="0" fontId="29" fillId="0" borderId="0" xfId="0" applyFont="1" applyAlignment="1">
      <alignment horizontal="left" vertical="center"/>
    </xf>
    <xf numFmtId="0" fontId="11" fillId="0" borderId="0" xfId="0" applyFont="1">
      <alignment vertical="center"/>
    </xf>
    <xf numFmtId="0" fontId="33" fillId="0" borderId="0" xfId="0" applyFont="1">
      <alignment vertical="center"/>
    </xf>
    <xf numFmtId="0" fontId="11" fillId="0" borderId="0" xfId="0" applyFont="1" applyAlignment="1">
      <alignment vertical="center" wrapText="1"/>
    </xf>
    <xf numFmtId="0" fontId="13" fillId="0" borderId="0" xfId="0" applyFont="1">
      <alignment vertical="center"/>
    </xf>
    <xf numFmtId="0" fontId="14" fillId="0" borderId="0" xfId="0" applyFont="1">
      <alignment vertical="center"/>
    </xf>
    <xf numFmtId="0" fontId="17"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21" fillId="0" borderId="0" xfId="0" applyFont="1">
      <alignment vertical="center"/>
    </xf>
    <xf numFmtId="0" fontId="21" fillId="0" borderId="0" xfId="0" applyFont="1" applyAlignment="1">
      <alignment horizontal="center" vertical="center"/>
    </xf>
    <xf numFmtId="0" fontId="11" fillId="0" borderId="29" xfId="0" applyFont="1" applyBorder="1">
      <alignment vertical="center"/>
    </xf>
    <xf numFmtId="0" fontId="33" fillId="0" borderId="29" xfId="0" applyFont="1" applyBorder="1">
      <alignment vertical="center"/>
    </xf>
    <xf numFmtId="0" fontId="4" fillId="0" borderId="38" xfId="0" applyFont="1" applyBorder="1">
      <alignment vertical="center"/>
    </xf>
    <xf numFmtId="0" fontId="11" fillId="0" borderId="30" xfId="0" applyFont="1" applyBorder="1">
      <alignment vertical="center"/>
    </xf>
    <xf numFmtId="0" fontId="33" fillId="0" borderId="30" xfId="0" applyFont="1" applyBorder="1">
      <alignment vertical="center"/>
    </xf>
    <xf numFmtId="0" fontId="4" fillId="0" borderId="42" xfId="0" applyFont="1" applyBorder="1">
      <alignment vertical="center"/>
    </xf>
    <xf numFmtId="0" fontId="5" fillId="0" borderId="41" xfId="0" applyFont="1" applyBorder="1" applyAlignment="1">
      <alignment horizontal="right" vertical="center"/>
    </xf>
    <xf numFmtId="0" fontId="19" fillId="0" borderId="42" xfId="0" applyFont="1" applyBorder="1" applyAlignment="1">
      <alignment horizontal="left" vertical="center"/>
    </xf>
    <xf numFmtId="0" fontId="37" fillId="4" borderId="0" xfId="0" applyFont="1" applyFill="1" applyAlignment="1">
      <alignment horizontal="left"/>
    </xf>
    <xf numFmtId="0" fontId="37" fillId="4" borderId="51" xfId="0" applyFont="1" applyFill="1" applyBorder="1" applyAlignment="1">
      <alignment horizontal="left"/>
    </xf>
    <xf numFmtId="0" fontId="27" fillId="0" borderId="0" xfId="0" applyFont="1" applyAlignment="1">
      <alignment vertical="top"/>
    </xf>
    <xf numFmtId="0" fontId="28" fillId="0" borderId="0" xfId="0" applyFont="1" applyAlignment="1">
      <alignment vertical="top"/>
    </xf>
    <xf numFmtId="0" fontId="28" fillId="0" borderId="0" xfId="0" applyFont="1">
      <alignment vertical="center"/>
    </xf>
    <xf numFmtId="0" fontId="11" fillId="3" borderId="29" xfId="0" applyFont="1" applyFill="1" applyBorder="1">
      <alignment vertical="center"/>
    </xf>
    <xf numFmtId="0" fontId="33" fillId="3" borderId="0" xfId="0" applyFont="1" applyFill="1">
      <alignment vertical="center"/>
    </xf>
    <xf numFmtId="0" fontId="11" fillId="3" borderId="0" xfId="0" applyFont="1" applyFill="1" applyAlignment="1">
      <alignment vertical="center" wrapText="1"/>
    </xf>
    <xf numFmtId="0" fontId="11" fillId="3" borderId="30" xfId="0" applyFont="1" applyFill="1" applyBorder="1">
      <alignment vertical="center"/>
    </xf>
    <xf numFmtId="0" fontId="33" fillId="3" borderId="29" xfId="0" applyFont="1" applyFill="1" applyBorder="1">
      <alignment vertical="center"/>
    </xf>
    <xf numFmtId="0" fontId="33" fillId="3" borderId="30" xfId="0" applyFont="1" applyFill="1" applyBorder="1">
      <alignment vertical="center"/>
    </xf>
    <xf numFmtId="0" fontId="27" fillId="3" borderId="0" xfId="0" applyFont="1" applyFill="1" applyAlignment="1">
      <alignment vertical="top"/>
    </xf>
    <xf numFmtId="0" fontId="28" fillId="3" borderId="0" xfId="0" applyFont="1" applyFill="1" applyAlignment="1">
      <alignment vertical="top"/>
    </xf>
    <xf numFmtId="0" fontId="28" fillId="3" borderId="0" xfId="0" applyFont="1" applyFill="1">
      <alignment vertical="center"/>
    </xf>
    <xf numFmtId="0" fontId="14" fillId="3" borderId="0" xfId="0" applyFont="1" applyFill="1">
      <alignment vertical="center"/>
    </xf>
    <xf numFmtId="0" fontId="4" fillId="3" borderId="29" xfId="0" applyFont="1" applyFill="1" applyBorder="1" applyAlignment="1">
      <alignment horizontal="center" vertical="center"/>
    </xf>
    <xf numFmtId="0" fontId="10" fillId="3" borderId="0" xfId="0" applyFont="1" applyFill="1" applyAlignment="1">
      <alignment horizontal="left" vertical="center"/>
    </xf>
    <xf numFmtId="0" fontId="4" fillId="3" borderId="37" xfId="0" applyFont="1" applyFill="1" applyBorder="1" applyAlignment="1">
      <alignment horizontal="center" vertical="center"/>
    </xf>
    <xf numFmtId="0" fontId="29" fillId="3" borderId="0" xfId="0" applyFont="1" applyFill="1" applyAlignment="1">
      <alignment horizontal="left" vertical="center"/>
    </xf>
    <xf numFmtId="0" fontId="4" fillId="3" borderId="38" xfId="0" applyFont="1" applyFill="1" applyBorder="1">
      <alignment vertical="center"/>
    </xf>
    <xf numFmtId="0" fontId="4" fillId="3" borderId="42" xfId="0" applyFont="1" applyFill="1" applyBorder="1">
      <alignment vertical="center"/>
    </xf>
    <xf numFmtId="0" fontId="5" fillId="3" borderId="37" xfId="0" applyFont="1" applyFill="1" applyBorder="1">
      <alignment vertical="center"/>
    </xf>
    <xf numFmtId="0" fontId="4" fillId="3" borderId="43" xfId="0" applyFont="1" applyFill="1" applyBorder="1">
      <alignment vertical="center"/>
    </xf>
    <xf numFmtId="0" fontId="5" fillId="3" borderId="11" xfId="0" applyFont="1" applyFill="1" applyBorder="1">
      <alignment vertical="center"/>
    </xf>
    <xf numFmtId="0" fontId="5" fillId="3" borderId="41" xfId="0" applyFont="1" applyFill="1" applyBorder="1" applyAlignment="1">
      <alignment horizontal="right" vertical="center"/>
    </xf>
    <xf numFmtId="0" fontId="5" fillId="3" borderId="11" xfId="0" applyFont="1" applyFill="1" applyBorder="1" applyProtection="1">
      <alignment vertical="center"/>
      <protection locked="0"/>
    </xf>
    <xf numFmtId="0" fontId="20" fillId="3" borderId="11" xfId="0" applyFont="1" applyFill="1" applyBorder="1">
      <alignment vertical="center"/>
    </xf>
    <xf numFmtId="0" fontId="19" fillId="3" borderId="11" xfId="0" applyFont="1" applyFill="1" applyBorder="1">
      <alignment vertical="center"/>
    </xf>
    <xf numFmtId="0" fontId="19" fillId="3" borderId="10" xfId="0" applyFont="1" applyFill="1" applyBorder="1" applyAlignment="1">
      <alignment horizontal="left" vertical="center"/>
    </xf>
    <xf numFmtId="0" fontId="19" fillId="3" borderId="3" xfId="0" applyFont="1" applyFill="1" applyBorder="1">
      <alignment vertical="center"/>
    </xf>
    <xf numFmtId="0" fontId="19" fillId="3" borderId="3" xfId="0" applyFont="1" applyFill="1" applyBorder="1" applyAlignment="1">
      <alignment horizontal="left" vertical="center"/>
    </xf>
    <xf numFmtId="0" fontId="19" fillId="3" borderId="0" xfId="0" applyFont="1" applyFill="1" applyAlignment="1">
      <alignment horizontal="center" vertical="center"/>
    </xf>
    <xf numFmtId="0" fontId="19" fillId="3" borderId="3" xfId="0" applyFont="1" applyFill="1" applyBorder="1" applyAlignment="1">
      <alignment horizontal="center" vertical="center"/>
    </xf>
    <xf numFmtId="0" fontId="19" fillId="3" borderId="42" xfId="0" applyFont="1" applyFill="1" applyBorder="1" applyAlignment="1">
      <alignment horizontal="left" vertical="center"/>
    </xf>
    <xf numFmtId="0" fontId="19" fillId="3" borderId="12" xfId="0" applyFont="1" applyFill="1" applyBorder="1" applyAlignment="1">
      <alignment horizontal="left" vertical="center"/>
    </xf>
    <xf numFmtId="0" fontId="17" fillId="5" borderId="11" xfId="0" applyFont="1" applyFill="1" applyBorder="1">
      <alignment vertical="center"/>
    </xf>
    <xf numFmtId="0" fontId="19" fillId="0" borderId="11" xfId="0" applyFont="1" applyBorder="1" applyAlignment="1">
      <alignment horizontal="left" vertical="center"/>
    </xf>
    <xf numFmtId="0" fontId="19" fillId="0" borderId="41" xfId="0" applyFont="1" applyBorder="1" applyAlignment="1">
      <alignment horizontal="left" vertical="center"/>
    </xf>
    <xf numFmtId="0" fontId="5" fillId="0" borderId="11" xfId="0" applyFont="1" applyBorder="1" applyAlignment="1" applyProtection="1">
      <alignment horizontal="center" vertical="center"/>
      <protection locked="0"/>
    </xf>
    <xf numFmtId="0" fontId="5" fillId="0" borderId="12" xfId="0" applyFont="1" applyBorder="1" applyAlignment="1">
      <alignment horizontal="left" vertical="center"/>
    </xf>
    <xf numFmtId="0" fontId="19" fillId="3" borderId="11" xfId="0" applyFont="1" applyFill="1" applyBorder="1" applyAlignment="1">
      <alignment horizontal="left" vertical="center"/>
    </xf>
    <xf numFmtId="0" fontId="19" fillId="3" borderId="41" xfId="0" applyFont="1" applyFill="1" applyBorder="1" applyAlignment="1">
      <alignment horizontal="left" vertical="center"/>
    </xf>
    <xf numFmtId="0" fontId="5" fillId="3" borderId="12" xfId="0" applyFont="1" applyFill="1" applyBorder="1" applyAlignment="1">
      <alignment horizontal="left" vertical="center"/>
    </xf>
    <xf numFmtId="0" fontId="5" fillId="3" borderId="11" xfId="0" applyFont="1" applyFill="1" applyBorder="1" applyAlignment="1" applyProtection="1">
      <alignment horizontal="center" vertical="center"/>
      <protection locked="0"/>
    </xf>
    <xf numFmtId="0" fontId="11" fillId="3" borderId="0" xfId="0" applyFont="1" applyFill="1" applyAlignment="1">
      <alignment horizontal="left" vertical="center"/>
    </xf>
    <xf numFmtId="0" fontId="11" fillId="3" borderId="30" xfId="0" applyFont="1" applyFill="1" applyBorder="1" applyAlignment="1">
      <alignment horizontal="left" vertical="center"/>
    </xf>
    <xf numFmtId="0" fontId="26" fillId="0" borderId="27" xfId="2" applyFont="1" applyBorder="1" applyProtection="1">
      <alignment vertical="center"/>
    </xf>
    <xf numFmtId="0" fontId="26" fillId="0" borderId="0" xfId="2" applyFont="1" applyBorder="1" applyProtection="1">
      <alignment vertical="center"/>
    </xf>
    <xf numFmtId="0" fontId="22" fillId="0" borderId="32" xfId="2" applyFont="1" applyFill="1" applyBorder="1" applyAlignment="1" applyProtection="1">
      <alignment vertical="center"/>
    </xf>
    <xf numFmtId="0" fontId="11" fillId="0" borderId="0" xfId="0" applyFont="1" applyAlignment="1">
      <alignment horizontal="left" vertical="center"/>
    </xf>
    <xf numFmtId="0" fontId="11" fillId="0" borderId="30" xfId="0" applyFont="1" applyBorder="1" applyAlignment="1">
      <alignment horizontal="left" vertical="center"/>
    </xf>
    <xf numFmtId="0" fontId="4" fillId="0" borderId="29" xfId="0" applyFont="1" applyBorder="1" applyAlignment="1">
      <alignment horizontal="center" vertical="center"/>
    </xf>
    <xf numFmtId="0" fontId="10" fillId="0" borderId="0" xfId="0" applyFont="1" applyAlignment="1">
      <alignment horizontal="left" vertical="center"/>
    </xf>
    <xf numFmtId="0" fontId="4" fillId="0" borderId="37" xfId="0" applyFont="1" applyBorder="1" applyAlignment="1">
      <alignment horizontal="center" vertical="center"/>
    </xf>
    <xf numFmtId="0" fontId="5" fillId="0" borderId="37" xfId="0" applyFont="1" applyBorder="1">
      <alignment vertical="center"/>
    </xf>
    <xf numFmtId="0" fontId="4" fillId="0" borderId="8" xfId="0" applyFont="1" applyBorder="1">
      <alignment vertical="center"/>
    </xf>
    <xf numFmtId="0" fontId="16" fillId="0" borderId="8" xfId="0" applyFont="1" applyBorder="1">
      <alignment vertical="center"/>
    </xf>
    <xf numFmtId="0" fontId="4" fillId="0" borderId="43" xfId="0" applyFont="1" applyBorder="1">
      <alignment vertical="center"/>
    </xf>
    <xf numFmtId="0" fontId="11" fillId="0" borderId="29" xfId="0" applyFont="1" applyBorder="1" applyAlignment="1">
      <alignment horizontal="left" vertical="center"/>
    </xf>
    <xf numFmtId="0" fontId="11" fillId="0" borderId="0" xfId="0" applyFont="1" applyAlignment="1">
      <alignment horizontal="left" vertical="center"/>
    </xf>
    <xf numFmtId="0" fontId="11" fillId="0" borderId="30" xfId="0" applyFont="1" applyBorder="1" applyAlignment="1">
      <alignment horizontal="left" vertical="center"/>
    </xf>
    <xf numFmtId="0" fontId="20" fillId="0" borderId="26" xfId="0" applyFont="1" applyBorder="1" applyAlignment="1">
      <alignment horizontal="left" vertical="center"/>
    </xf>
    <xf numFmtId="0" fontId="20" fillId="0" borderId="27" xfId="0" applyFont="1" applyBorder="1" applyAlignment="1">
      <alignment horizontal="left" vertical="center"/>
    </xf>
    <xf numFmtId="0" fontId="12" fillId="0" borderId="38" xfId="0" applyFont="1" applyBorder="1" applyAlignment="1">
      <alignment horizontal="left" vertical="top" wrapText="1"/>
    </xf>
    <xf numFmtId="0" fontId="12" fillId="0" borderId="3" xfId="0" applyFont="1" applyBorder="1" applyAlignment="1">
      <alignment horizontal="left" vertical="top"/>
    </xf>
    <xf numFmtId="0" fontId="12" fillId="0" borderId="42" xfId="0" applyFont="1" applyBorder="1" applyAlignment="1">
      <alignment horizontal="left" vertical="top"/>
    </xf>
    <xf numFmtId="0" fontId="12" fillId="0" borderId="29" xfId="0" applyFont="1" applyBorder="1" applyAlignment="1">
      <alignment horizontal="left" vertical="top"/>
    </xf>
    <xf numFmtId="0" fontId="12" fillId="0" borderId="0" xfId="0" applyFont="1" applyAlignment="1">
      <alignment horizontal="left" vertical="top"/>
    </xf>
    <xf numFmtId="0" fontId="12" fillId="0" borderId="30" xfId="0" applyFont="1" applyBorder="1" applyAlignment="1">
      <alignment horizontal="left" vertical="top"/>
    </xf>
    <xf numFmtId="0" fontId="5" fillId="0" borderId="53" xfId="0" applyFont="1" applyBorder="1" applyAlignment="1" applyProtection="1">
      <alignment horizontal="center" vertical="center" shrinkToFit="1"/>
      <protection locked="0"/>
    </xf>
    <xf numFmtId="0" fontId="5" fillId="0" borderId="14" xfId="0" applyFont="1" applyBorder="1" applyAlignment="1" applyProtection="1">
      <alignment horizontal="center" vertical="center" shrinkToFit="1"/>
      <protection locked="0"/>
    </xf>
    <xf numFmtId="0" fontId="5" fillId="0" borderId="44" xfId="0" applyFont="1" applyBorder="1" applyAlignment="1" applyProtection="1">
      <alignment horizontal="center" vertical="center" shrinkToFit="1"/>
      <protection locked="0"/>
    </xf>
    <xf numFmtId="0" fontId="5" fillId="4" borderId="13" xfId="0" applyFont="1" applyFill="1" applyBorder="1" applyAlignment="1">
      <alignment horizontal="center" vertical="center" shrinkToFit="1"/>
    </xf>
    <xf numFmtId="0" fontId="5" fillId="4" borderId="56" xfId="0" applyFont="1" applyFill="1" applyBorder="1" applyAlignment="1">
      <alignment horizontal="center" vertical="center" shrinkToFit="1"/>
    </xf>
    <xf numFmtId="0" fontId="5" fillId="0" borderId="56" xfId="0" applyFont="1" applyBorder="1" applyAlignment="1" applyProtection="1">
      <alignment horizontal="center" vertical="center" shrinkToFit="1"/>
      <protection locked="0"/>
    </xf>
    <xf numFmtId="0" fontId="27" fillId="0" borderId="11" xfId="0" applyFont="1" applyBorder="1" applyAlignment="1">
      <alignment horizontal="center" vertical="center" shrinkToFit="1"/>
    </xf>
    <xf numFmtId="0" fontId="27" fillId="0" borderId="41" xfId="0" applyFont="1" applyBorder="1" applyAlignment="1">
      <alignment horizontal="center" vertical="center" shrinkToFit="1"/>
    </xf>
    <xf numFmtId="0" fontId="5" fillId="4" borderId="25" xfId="0" applyFont="1" applyFill="1" applyBorder="1" applyAlignment="1">
      <alignment horizontal="left" vertical="center"/>
    </xf>
    <xf numFmtId="0" fontId="5" fillId="4" borderId="11" xfId="0" applyFont="1" applyFill="1" applyBorder="1" applyAlignment="1">
      <alignment horizontal="left" vertical="center"/>
    </xf>
    <xf numFmtId="0" fontId="5" fillId="4" borderId="12" xfId="0" applyFont="1" applyFill="1" applyBorder="1" applyAlignment="1">
      <alignment horizontal="left" vertical="center"/>
    </xf>
    <xf numFmtId="0" fontId="27" fillId="4" borderId="11" xfId="0" applyFont="1" applyFill="1" applyBorder="1" applyAlignment="1">
      <alignment horizontal="left" vertical="center"/>
    </xf>
    <xf numFmtId="0" fontId="27" fillId="4" borderId="12" xfId="0" applyFont="1" applyFill="1" applyBorder="1" applyAlignment="1">
      <alignment horizontal="left" vertical="center"/>
    </xf>
    <xf numFmtId="0" fontId="19" fillId="4" borderId="10" xfId="0" applyFont="1" applyFill="1" applyBorder="1" applyAlignment="1">
      <alignment horizontal="center" vertical="center"/>
    </xf>
    <xf numFmtId="0" fontId="19" fillId="4" borderId="11" xfId="0" applyFont="1" applyFill="1" applyBorder="1" applyAlignment="1">
      <alignment horizontal="center" vertical="center"/>
    </xf>
    <xf numFmtId="0" fontId="5" fillId="4" borderId="38"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4" borderId="29"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6" xfId="0" applyFont="1" applyFill="1" applyBorder="1" applyAlignment="1">
      <alignment horizontal="left" vertical="center" wrapText="1"/>
    </xf>
    <xf numFmtId="0" fontId="5" fillId="4" borderId="37" xfId="0" applyFont="1" applyFill="1" applyBorder="1" applyAlignment="1">
      <alignment horizontal="left" vertical="center" wrapText="1"/>
    </xf>
    <xf numFmtId="0" fontId="5" fillId="4" borderId="8" xfId="0" applyFont="1" applyFill="1" applyBorder="1" applyAlignment="1">
      <alignment horizontal="left" vertical="center" wrapText="1"/>
    </xf>
    <xf numFmtId="0" fontId="5" fillId="4" borderId="9" xfId="0" applyFont="1" applyFill="1" applyBorder="1" applyAlignment="1">
      <alignment horizontal="left" vertical="center" wrapText="1"/>
    </xf>
    <xf numFmtId="0" fontId="4" fillId="0" borderId="23" xfId="0" applyFont="1" applyBorder="1" applyAlignment="1" applyProtection="1">
      <alignment horizontal="center" vertical="center" shrinkToFit="1"/>
      <protection locked="0"/>
    </xf>
    <xf numFmtId="0" fontId="4" fillId="0" borderId="19" xfId="0" applyFont="1" applyBorder="1" applyAlignment="1" applyProtection="1">
      <alignment horizontal="center" vertical="center" shrinkToFit="1"/>
      <protection locked="0"/>
    </xf>
    <xf numFmtId="0" fontId="4" fillId="0" borderId="54" xfId="0" applyFont="1" applyBorder="1" applyAlignment="1" applyProtection="1">
      <alignment horizontal="center" vertical="center" shrinkToFit="1"/>
      <protection locked="0"/>
    </xf>
    <xf numFmtId="0" fontId="4" fillId="0" borderId="7" xfId="0" applyFont="1" applyBorder="1" applyAlignment="1" applyProtection="1">
      <alignment horizontal="center" vertical="center" shrinkToFit="1"/>
      <protection locked="0"/>
    </xf>
    <xf numFmtId="0" fontId="4" fillId="0" borderId="8" xfId="0" applyFont="1" applyBorder="1" applyAlignment="1" applyProtection="1">
      <alignment horizontal="center" vertical="center" shrinkToFit="1"/>
      <protection locked="0"/>
    </xf>
    <xf numFmtId="0" fontId="4" fillId="0" borderId="55" xfId="0" applyFont="1" applyBorder="1" applyAlignment="1" applyProtection="1">
      <alignment horizontal="center" vertical="center" shrinkToFit="1"/>
      <protection locked="0"/>
    </xf>
    <xf numFmtId="0" fontId="4" fillId="0" borderId="50" xfId="0" applyFont="1" applyBorder="1" applyAlignment="1" applyProtection="1">
      <alignment horizontal="center" vertical="center" shrinkToFit="1"/>
      <protection locked="0"/>
    </xf>
    <xf numFmtId="0" fontId="4" fillId="0" borderId="0" xfId="0" applyFont="1" applyAlignment="1" applyProtection="1">
      <alignment horizontal="center" vertical="center" shrinkToFit="1"/>
      <protection locked="0"/>
    </xf>
    <xf numFmtId="0" fontId="4" fillId="0" borderId="30" xfId="0" applyFont="1" applyBorder="1" applyAlignment="1" applyProtection="1">
      <alignment horizontal="center" vertical="center" shrinkToFit="1"/>
      <protection locked="0"/>
    </xf>
    <xf numFmtId="0" fontId="4" fillId="0" borderId="43" xfId="0" applyFont="1" applyBorder="1" applyAlignment="1" applyProtection="1">
      <alignment horizontal="center" vertical="center" shrinkToFit="1"/>
      <protection locked="0"/>
    </xf>
    <xf numFmtId="0" fontId="33" fillId="4" borderId="25" xfId="0" applyFont="1" applyFill="1" applyBorder="1" applyAlignment="1">
      <alignment horizontal="center" vertical="center"/>
    </xf>
    <xf numFmtId="0" fontId="33" fillId="4" borderId="11" xfId="0" applyFont="1" applyFill="1" applyBorder="1" applyAlignment="1">
      <alignment horizontal="center" vertical="center"/>
    </xf>
    <xf numFmtId="0" fontId="33" fillId="4" borderId="12" xfId="0" applyFont="1" applyFill="1" applyBorder="1" applyAlignment="1">
      <alignment horizontal="center" vertical="center"/>
    </xf>
    <xf numFmtId="0" fontId="19" fillId="0" borderId="11" xfId="0" applyFont="1" applyBorder="1" applyAlignment="1">
      <alignment horizontal="left" vertical="center"/>
    </xf>
    <xf numFmtId="0" fontId="19" fillId="0" borderId="41" xfId="0" applyFont="1" applyBorder="1" applyAlignment="1">
      <alignment horizontal="left" vertical="center"/>
    </xf>
    <xf numFmtId="0" fontId="23" fillId="0" borderId="38" xfId="0" applyFont="1" applyBorder="1" applyAlignment="1">
      <alignment horizontal="left" vertical="center" wrapText="1" shrinkToFit="1"/>
    </xf>
    <xf numFmtId="0" fontId="23" fillId="0" borderId="3" xfId="0" applyFont="1" applyBorder="1" applyAlignment="1">
      <alignment horizontal="left" vertical="center" shrinkToFit="1"/>
    </xf>
    <xf numFmtId="0" fontId="23" fillId="0" borderId="42" xfId="0" applyFont="1" applyBorder="1" applyAlignment="1">
      <alignment horizontal="left" vertical="center" shrinkToFit="1"/>
    </xf>
    <xf numFmtId="0" fontId="23" fillId="0" borderId="37" xfId="0" applyFont="1" applyBorder="1" applyAlignment="1">
      <alignment horizontal="left" vertical="center" shrinkToFit="1"/>
    </xf>
    <xf numFmtId="0" fontId="23" fillId="0" borderId="8" xfId="0" applyFont="1" applyBorder="1" applyAlignment="1">
      <alignment horizontal="left" vertical="center" shrinkToFit="1"/>
    </xf>
    <xf numFmtId="0" fontId="23" fillId="0" borderId="43" xfId="0" applyFont="1" applyBorder="1" applyAlignment="1">
      <alignment horizontal="left" vertical="center" shrinkToFit="1"/>
    </xf>
    <xf numFmtId="0" fontId="21" fillId="0" borderId="11" xfId="0" applyFont="1" applyBorder="1" applyAlignment="1">
      <alignment horizontal="left" vertical="center"/>
    </xf>
    <xf numFmtId="0" fontId="21" fillId="0" borderId="41" xfId="0" applyFont="1" applyBorder="1" applyAlignment="1">
      <alignment horizontal="left" vertical="center"/>
    </xf>
    <xf numFmtId="0" fontId="35" fillId="4" borderId="29" xfId="0" applyFont="1" applyFill="1" applyBorder="1" applyAlignment="1">
      <alignment horizontal="left" vertical="center"/>
    </xf>
    <xf numFmtId="0" fontId="35" fillId="4" borderId="0" xfId="0" applyFont="1" applyFill="1" applyAlignment="1">
      <alignment horizontal="left" vertical="center"/>
    </xf>
    <xf numFmtId="0" fontId="35" fillId="4" borderId="51" xfId="0" applyFont="1" applyFill="1" applyBorder="1" applyAlignment="1">
      <alignment horizontal="left" vertical="center"/>
    </xf>
    <xf numFmtId="0" fontId="4" fillId="0" borderId="10" xfId="0" applyFont="1" applyBorder="1" applyAlignment="1" applyProtection="1">
      <alignment horizontal="center" vertical="center" shrinkToFit="1"/>
      <protection locked="0"/>
    </xf>
    <xf numFmtId="0" fontId="4" fillId="0" borderId="11" xfId="0" applyFont="1" applyBorder="1" applyAlignment="1" applyProtection="1">
      <alignment horizontal="center" vertical="center" shrinkToFit="1"/>
      <protection locked="0"/>
    </xf>
    <xf numFmtId="0" fontId="4" fillId="0" borderId="41" xfId="0" applyFont="1" applyBorder="1" applyAlignment="1" applyProtection="1">
      <alignment horizontal="center" vertical="center" shrinkToFit="1"/>
      <protection locked="0"/>
    </xf>
    <xf numFmtId="0" fontId="5" fillId="0" borderId="11" xfId="0" applyFont="1" applyBorder="1" applyAlignment="1">
      <alignment horizontal="left" vertical="center"/>
    </xf>
    <xf numFmtId="0" fontId="5" fillId="0" borderId="41" xfId="0" applyFont="1" applyBorder="1" applyAlignment="1">
      <alignment horizontal="left" vertical="center"/>
    </xf>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18" xfId="0" applyFont="1" applyFill="1" applyBorder="1" applyAlignment="1">
      <alignment horizontal="center" vertical="center"/>
    </xf>
    <xf numFmtId="0" fontId="17" fillId="0" borderId="31" xfId="0" applyFont="1" applyBorder="1" applyAlignment="1">
      <alignment horizontal="right" vertical="center"/>
    </xf>
    <xf numFmtId="0" fontId="17" fillId="0" borderId="32" xfId="0" applyFont="1" applyBorder="1" applyAlignment="1">
      <alignment horizontal="right" vertical="center"/>
    </xf>
    <xf numFmtId="0" fontId="17" fillId="0" borderId="33" xfId="0" applyFont="1" applyBorder="1" applyAlignment="1">
      <alignment horizontal="right" vertical="center"/>
    </xf>
    <xf numFmtId="0" fontId="33" fillId="4" borderId="25" xfId="0" applyFont="1" applyFill="1" applyBorder="1" applyAlignment="1">
      <alignment horizontal="left" vertical="center"/>
    </xf>
    <xf numFmtId="0" fontId="33" fillId="4" borderId="11" xfId="0" applyFont="1" applyFill="1" applyBorder="1" applyAlignment="1">
      <alignment horizontal="left" vertical="center"/>
    </xf>
    <xf numFmtId="0" fontId="19" fillId="4" borderId="2" xfId="0" applyFont="1" applyFill="1" applyBorder="1" applyAlignment="1">
      <alignment horizontal="center" vertical="center"/>
    </xf>
    <xf numFmtId="0" fontId="19" fillId="4" borderId="3"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30" fillId="4" borderId="11" xfId="0" applyFont="1" applyFill="1" applyBorder="1" applyAlignment="1">
      <alignment horizontal="left" vertical="center"/>
    </xf>
    <xf numFmtId="0" fontId="30" fillId="4" borderId="12" xfId="0" applyFont="1" applyFill="1" applyBorder="1" applyAlignment="1">
      <alignment horizontal="left" vertical="center"/>
    </xf>
    <xf numFmtId="0" fontId="30" fillId="4" borderId="3" xfId="0" applyFont="1" applyFill="1" applyBorder="1" applyAlignment="1">
      <alignment horizontal="left" vertical="center"/>
    </xf>
    <xf numFmtId="0" fontId="30" fillId="4" borderId="4" xfId="0" applyFont="1" applyFill="1" applyBorder="1" applyAlignment="1">
      <alignment horizontal="left" vertical="center"/>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34" xfId="0"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35" xfId="0" applyFont="1" applyBorder="1" applyAlignment="1">
      <alignment horizontal="left" vertical="center" wrapText="1"/>
    </xf>
    <xf numFmtId="0" fontId="12" fillId="0" borderId="4" xfId="0" applyFont="1" applyBorder="1" applyAlignment="1">
      <alignment horizontal="left" vertical="center" wrapText="1"/>
    </xf>
    <xf numFmtId="0" fontId="12" fillId="0" borderId="9" xfId="0" applyFont="1" applyBorder="1" applyAlignment="1">
      <alignment horizontal="left" vertical="center" wrapText="1"/>
    </xf>
    <xf numFmtId="0" fontId="12" fillId="4" borderId="13" xfId="0" applyFont="1" applyFill="1" applyBorder="1" applyAlignment="1">
      <alignment horizontal="center" vertical="center"/>
    </xf>
    <xf numFmtId="0" fontId="12" fillId="4" borderId="14" xfId="0" applyFont="1" applyFill="1" applyBorder="1" applyAlignment="1">
      <alignment horizontal="center" vertical="center"/>
    </xf>
    <xf numFmtId="0" fontId="12" fillId="4" borderId="15" xfId="0" applyFont="1" applyFill="1" applyBorder="1" applyAlignment="1">
      <alignment horizontal="center" vertical="center"/>
    </xf>
    <xf numFmtId="0" fontId="12" fillId="4" borderId="16"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18" xfId="0" applyFont="1" applyFill="1" applyBorder="1" applyAlignment="1">
      <alignment horizontal="center" vertical="center"/>
    </xf>
    <xf numFmtId="0" fontId="4" fillId="0" borderId="13" xfId="0" applyFont="1" applyBorder="1" applyAlignment="1" applyProtection="1">
      <alignment horizontal="center" vertical="center" shrinkToFit="1"/>
      <protection locked="0"/>
    </xf>
    <xf numFmtId="0" fontId="4" fillId="0" borderId="14" xfId="0" applyFont="1" applyBorder="1" applyAlignment="1" applyProtection="1">
      <alignment horizontal="center" vertical="center" shrinkToFit="1"/>
      <protection locked="0"/>
    </xf>
    <xf numFmtId="0" fontId="4" fillId="0" borderId="44" xfId="0" applyFont="1" applyBorder="1" applyAlignment="1" applyProtection="1">
      <alignment horizontal="center" vertical="center" shrinkToFit="1"/>
      <protection locked="0"/>
    </xf>
    <xf numFmtId="0" fontId="4" fillId="0" borderId="16" xfId="0" applyFont="1" applyBorder="1" applyAlignment="1" applyProtection="1">
      <alignment horizontal="center" vertical="center" shrinkToFit="1"/>
      <protection locked="0"/>
    </xf>
    <xf numFmtId="0" fontId="4" fillId="0" borderId="17" xfId="0" applyFont="1" applyBorder="1" applyAlignment="1" applyProtection="1">
      <alignment horizontal="center" vertical="center" shrinkToFit="1"/>
      <protection locked="0"/>
    </xf>
    <xf numFmtId="0" fontId="4" fillId="0" borderId="45" xfId="0" applyFont="1" applyBorder="1" applyAlignment="1" applyProtection="1">
      <alignment horizontal="center" vertical="center" shrinkToFit="1"/>
      <protection locked="0"/>
    </xf>
    <xf numFmtId="0" fontId="12" fillId="4" borderId="38"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3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7"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4" fillId="0" borderId="12" xfId="0" applyFont="1" applyBorder="1" applyAlignment="1" applyProtection="1">
      <alignment horizontal="center" vertical="center" shrinkToFit="1"/>
      <protection locked="0"/>
    </xf>
    <xf numFmtId="0" fontId="4" fillId="0" borderId="18" xfId="0" applyFont="1" applyBorder="1" applyAlignment="1" applyProtection="1">
      <alignment horizontal="center" vertical="center" shrinkToFit="1"/>
      <protection locked="0"/>
    </xf>
    <xf numFmtId="38" fontId="5" fillId="0" borderId="10" xfId="1" applyFont="1" applyFill="1" applyBorder="1" applyAlignment="1" applyProtection="1">
      <alignment horizontal="center" vertical="center" shrinkToFit="1"/>
      <protection locked="0"/>
    </xf>
    <xf numFmtId="38" fontId="5" fillId="0" borderId="11" xfId="1" applyFont="1" applyFill="1" applyBorder="1" applyAlignment="1" applyProtection="1">
      <alignment horizontal="center" vertical="center" shrinkToFit="1"/>
      <protection locked="0"/>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10" xfId="2" applyFont="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7" fillId="0" borderId="22"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4" borderId="12" xfId="0" applyFont="1" applyFill="1" applyBorder="1" applyAlignment="1">
      <alignment horizontal="center" vertical="center"/>
    </xf>
    <xf numFmtId="0" fontId="17" fillId="4" borderId="12" xfId="0" applyFont="1" applyFill="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11" fillId="0" borderId="0" xfId="0" applyFont="1" applyAlignment="1">
      <alignment horizontal="left" vertical="center" wrapText="1"/>
    </xf>
    <xf numFmtId="0" fontId="11" fillId="0" borderId="30" xfId="0" applyFont="1" applyBorder="1" applyAlignment="1">
      <alignment horizontal="left" vertical="center" wrapText="1"/>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0" fontId="5" fillId="4" borderId="0" xfId="0" applyFont="1" applyFill="1" applyAlignment="1">
      <alignment horizontal="left" vertical="center"/>
    </xf>
    <xf numFmtId="0" fontId="5" fillId="4" borderId="6" xfId="0" applyFont="1" applyFill="1" applyBorder="1" applyAlignment="1">
      <alignment horizontal="left" vertical="center"/>
    </xf>
    <xf numFmtId="0" fontId="5" fillId="4" borderId="37" xfId="0" applyFont="1" applyFill="1" applyBorder="1" applyAlignment="1">
      <alignment horizontal="left" vertical="center"/>
    </xf>
    <xf numFmtId="0" fontId="5" fillId="4" borderId="8" xfId="0" applyFont="1" applyFill="1" applyBorder="1" applyAlignment="1">
      <alignment horizontal="left" vertical="center"/>
    </xf>
    <xf numFmtId="0" fontId="5" fillId="4" borderId="9" xfId="0" applyFont="1" applyFill="1" applyBorder="1" applyAlignment="1">
      <alignment horizontal="left" vertical="center"/>
    </xf>
    <xf numFmtId="0" fontId="20" fillId="0" borderId="37" xfId="0" applyFont="1" applyBorder="1" applyAlignment="1">
      <alignment horizontal="left" vertical="center"/>
    </xf>
    <xf numFmtId="0" fontId="20" fillId="0" borderId="8" xfId="0" applyFont="1" applyBorder="1" applyAlignment="1">
      <alignment horizontal="left" vertical="center"/>
    </xf>
    <xf numFmtId="0" fontId="6"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vertical="center"/>
    </xf>
    <xf numFmtId="0" fontId="6" fillId="0" borderId="30" xfId="0" applyFont="1" applyBorder="1" applyAlignment="1">
      <alignment horizontal="left" vertical="center"/>
    </xf>
    <xf numFmtId="0" fontId="8" fillId="2" borderId="38"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2" xfId="0" applyFont="1" applyFill="1" applyBorder="1" applyAlignment="1">
      <alignment horizontal="center" vertical="center"/>
    </xf>
    <xf numFmtId="0" fontId="11" fillId="0" borderId="2" xfId="0" applyFont="1" applyBorder="1" applyAlignment="1">
      <alignment horizontal="left" vertical="center" wrapText="1"/>
    </xf>
    <xf numFmtId="0" fontId="11" fillId="0" borderId="3" xfId="0" applyFont="1" applyBorder="1" applyAlignment="1">
      <alignment horizontal="left" vertical="center"/>
    </xf>
    <xf numFmtId="0" fontId="11" fillId="0" borderId="42" xfId="0" applyFont="1" applyBorder="1" applyAlignment="1">
      <alignment horizontal="left" vertical="center"/>
    </xf>
    <xf numFmtId="0" fontId="33" fillId="4" borderId="41" xfId="0" applyFont="1" applyFill="1" applyBorder="1" applyAlignment="1">
      <alignment horizontal="left" vertical="center"/>
    </xf>
    <xf numFmtId="0" fontId="5" fillId="4" borderId="49" xfId="0" applyFont="1" applyFill="1" applyBorder="1" applyAlignment="1">
      <alignment horizontal="center" vertical="center" shrinkToFit="1"/>
    </xf>
    <xf numFmtId="0" fontId="4" fillId="0" borderId="15" xfId="0" applyFont="1" applyBorder="1" applyAlignment="1" applyProtection="1">
      <alignment horizontal="center" vertical="center" shrinkToFit="1"/>
      <protection locked="0"/>
    </xf>
    <xf numFmtId="0" fontId="5" fillId="4" borderId="25" xfId="0" applyFont="1" applyFill="1" applyBorder="1" applyAlignment="1">
      <alignment horizontal="center" vertical="center"/>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3" fillId="4" borderId="39"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20" fillId="0" borderId="10" xfId="2" quotePrefix="1" applyFont="1" applyBorder="1" applyAlignment="1" applyProtection="1">
      <alignment horizontal="center" vertical="center"/>
      <protection locked="0"/>
    </xf>
    <xf numFmtId="0" fontId="20" fillId="0" borderId="11" xfId="0" applyFont="1" applyBorder="1" applyAlignment="1" applyProtection="1">
      <alignment horizontal="center" vertical="center"/>
      <protection locked="0"/>
    </xf>
    <xf numFmtId="0" fontId="20" fillId="0" borderId="12" xfId="0" applyFont="1" applyBorder="1" applyAlignment="1" applyProtection="1">
      <alignment horizontal="center" vertical="center"/>
      <protection locked="0"/>
    </xf>
    <xf numFmtId="0" fontId="20" fillId="0" borderId="10" xfId="0" quotePrefix="1"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31" fillId="4" borderId="25" xfId="0" applyFont="1" applyFill="1" applyBorder="1" applyAlignment="1">
      <alignment horizontal="left" vertical="center"/>
    </xf>
    <xf numFmtId="0" fontId="31" fillId="4" borderId="11" xfId="0" applyFont="1" applyFill="1" applyBorder="1" applyAlignment="1">
      <alignment horizontal="left" vertical="center"/>
    </xf>
    <xf numFmtId="0" fontId="31" fillId="4" borderId="41" xfId="0" applyFont="1" applyFill="1" applyBorder="1" applyAlignment="1">
      <alignment horizontal="left" vertical="center"/>
    </xf>
    <xf numFmtId="0" fontId="12" fillId="4" borderId="11" xfId="0" applyFont="1" applyFill="1" applyBorder="1" applyAlignment="1">
      <alignment horizontal="center" vertical="center"/>
    </xf>
    <xf numFmtId="0" fontId="12" fillId="4" borderId="41" xfId="0" applyFont="1" applyFill="1" applyBorder="1" applyAlignment="1">
      <alignment horizontal="center" vertical="center"/>
    </xf>
    <xf numFmtId="0" fontId="19" fillId="4" borderId="25"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19" fillId="4" borderId="39" xfId="0" applyFont="1" applyFill="1" applyBorder="1" applyAlignment="1">
      <alignment horizontal="center" vertical="center"/>
    </xf>
    <xf numFmtId="0" fontId="19" fillId="4" borderId="1" xfId="0" applyFont="1" applyFill="1" applyBorder="1" applyAlignment="1">
      <alignment horizontal="center" vertical="center"/>
    </xf>
    <xf numFmtId="0" fontId="19" fillId="4" borderId="10" xfId="0" applyFont="1" applyFill="1" applyBorder="1" applyAlignment="1">
      <alignment horizontal="center" vertical="center" wrapText="1"/>
    </xf>
    <xf numFmtId="0" fontId="19" fillId="4" borderId="12" xfId="0" applyFont="1" applyFill="1" applyBorder="1" applyAlignment="1">
      <alignment horizontal="center" vertical="center"/>
    </xf>
    <xf numFmtId="0" fontId="33" fillId="4" borderId="41" xfId="0" applyFont="1" applyFill="1" applyBorder="1" applyAlignment="1">
      <alignment horizontal="center" vertical="center"/>
    </xf>
    <xf numFmtId="0" fontId="18" fillId="4" borderId="2" xfId="0" applyFont="1" applyFill="1" applyBorder="1" applyAlignment="1">
      <alignment horizontal="left" vertical="center" wrapText="1" shrinkToFit="1"/>
    </xf>
    <xf numFmtId="0" fontId="24" fillId="4" borderId="3" xfId="0" applyFont="1" applyFill="1" applyBorder="1" applyAlignment="1">
      <alignment horizontal="left" vertical="center" wrapText="1" shrinkToFit="1"/>
    </xf>
    <xf numFmtId="0" fontId="24" fillId="4" borderId="42" xfId="0" applyFont="1" applyFill="1" applyBorder="1" applyAlignment="1">
      <alignment horizontal="left" vertical="center" wrapText="1" shrinkToFit="1"/>
    </xf>
    <xf numFmtId="0" fontId="24" fillId="4" borderId="5" xfId="0" applyFont="1" applyFill="1" applyBorder="1" applyAlignment="1">
      <alignment horizontal="left" vertical="center" wrapText="1" shrinkToFit="1"/>
    </xf>
    <xf numFmtId="0" fontId="24" fillId="4" borderId="0" xfId="0" applyFont="1" applyFill="1" applyAlignment="1">
      <alignment horizontal="left" vertical="center" wrapText="1" shrinkToFit="1"/>
    </xf>
    <xf numFmtId="0" fontId="24" fillId="4" borderId="30" xfId="0" applyFont="1" applyFill="1" applyBorder="1" applyAlignment="1">
      <alignment horizontal="left" vertical="center" wrapText="1" shrinkToFit="1"/>
    </xf>
    <xf numFmtId="0" fontId="19" fillId="4" borderId="16" xfId="0" applyFont="1" applyFill="1" applyBorder="1" applyAlignment="1">
      <alignment horizontal="center" vertical="center"/>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xf numFmtId="0" fontId="19" fillId="4" borderId="25" xfId="0" applyFont="1" applyFill="1" applyBorder="1" applyAlignment="1">
      <alignment horizontal="left" vertical="center" wrapText="1"/>
    </xf>
    <xf numFmtId="0" fontId="19" fillId="4" borderId="11" xfId="0" applyFont="1" applyFill="1" applyBorder="1" applyAlignment="1">
      <alignment horizontal="left" vertical="center" wrapText="1"/>
    </xf>
    <xf numFmtId="0" fontId="19" fillId="4" borderId="12" xfId="0" applyFont="1" applyFill="1" applyBorder="1" applyAlignment="1">
      <alignment horizontal="left" vertical="center" wrapText="1"/>
    </xf>
    <xf numFmtId="0" fontId="19" fillId="4" borderId="25" xfId="0" applyFont="1" applyFill="1" applyBorder="1" applyAlignment="1">
      <alignment horizontal="center" vertical="center"/>
    </xf>
    <xf numFmtId="0" fontId="4" fillId="0" borderId="11" xfId="0" applyFont="1" applyBorder="1" applyAlignment="1">
      <alignment horizontal="center" vertical="center"/>
    </xf>
    <xf numFmtId="0" fontId="4" fillId="0" borderId="41" xfId="0" applyFont="1" applyBorder="1" applyAlignment="1">
      <alignment horizontal="center" vertical="center"/>
    </xf>
    <xf numFmtId="0" fontId="13" fillId="4" borderId="25"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39"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0" borderId="3" xfId="0" applyFont="1" applyBorder="1" applyAlignment="1">
      <alignment horizontal="center" vertical="center"/>
    </xf>
    <xf numFmtId="0" fontId="4" fillId="0" borderId="42" xfId="0" applyFont="1" applyBorder="1" applyAlignment="1">
      <alignment horizontal="center" vertical="center"/>
    </xf>
    <xf numFmtId="0" fontId="4" fillId="0" borderId="0" xfId="0" applyFont="1" applyAlignment="1">
      <alignment horizontal="center" vertical="center"/>
    </xf>
    <xf numFmtId="0" fontId="4" fillId="0" borderId="30" xfId="0" applyFont="1" applyBorder="1" applyAlignment="1">
      <alignment horizontal="center" vertical="center"/>
    </xf>
    <xf numFmtId="0" fontId="4" fillId="0" borderId="8" xfId="0" applyFont="1" applyBorder="1" applyAlignment="1">
      <alignment horizontal="center" vertical="center"/>
    </xf>
    <xf numFmtId="0" fontId="4" fillId="0" borderId="43" xfId="0" applyFont="1" applyBorder="1" applyAlignment="1">
      <alignment horizontal="center" vertical="center"/>
    </xf>
    <xf numFmtId="0" fontId="19" fillId="4" borderId="38" xfId="0" applyFont="1" applyFill="1" applyBorder="1" applyAlignment="1">
      <alignment horizontal="left" vertical="center"/>
    </xf>
    <xf numFmtId="0" fontId="19" fillId="4" borderId="3" xfId="0" applyFont="1" applyFill="1" applyBorder="1" applyAlignment="1">
      <alignment horizontal="left" vertical="center"/>
    </xf>
    <xf numFmtId="0" fontId="19" fillId="4" borderId="37" xfId="0" applyFont="1" applyFill="1" applyBorder="1" applyAlignment="1">
      <alignment horizontal="left" vertical="center"/>
    </xf>
    <xf numFmtId="0" fontId="19" fillId="4" borderId="8" xfId="0" applyFont="1" applyFill="1" applyBorder="1" applyAlignment="1">
      <alignment horizontal="left" vertical="center"/>
    </xf>
    <xf numFmtId="38" fontId="4" fillId="0" borderId="10" xfId="1" applyFont="1" applyFill="1" applyBorder="1" applyAlignment="1" applyProtection="1">
      <alignment horizontal="right" vertical="center" shrinkToFit="1"/>
      <protection locked="0"/>
    </xf>
    <xf numFmtId="38" fontId="4" fillId="0" borderId="11" xfId="1" applyFont="1" applyFill="1" applyBorder="1" applyAlignment="1" applyProtection="1">
      <alignment horizontal="right" vertical="center" shrinkToFit="1"/>
      <protection locked="0"/>
    </xf>
    <xf numFmtId="0" fontId="19" fillId="4" borderId="4" xfId="0" applyFont="1" applyFill="1" applyBorder="1" applyAlignment="1">
      <alignment horizontal="center" vertical="center"/>
    </xf>
    <xf numFmtId="38" fontId="36" fillId="4" borderId="52" xfId="1" applyFont="1" applyFill="1" applyBorder="1" applyAlignment="1" applyProtection="1">
      <alignment horizontal="right"/>
      <protection locked="0"/>
    </xf>
    <xf numFmtId="38" fontId="36" fillId="4" borderId="0" xfId="1" applyFont="1" applyFill="1" applyBorder="1" applyAlignment="1" applyProtection="1">
      <alignment horizontal="right"/>
      <protection locked="0"/>
    </xf>
    <xf numFmtId="0" fontId="4" fillId="0" borderId="10" xfId="2" applyFont="1" applyBorder="1" applyAlignment="1" applyProtection="1">
      <alignment horizontal="center" vertical="center" shrinkToFit="1"/>
      <protection locked="0"/>
    </xf>
    <xf numFmtId="0" fontId="5" fillId="0" borderId="12" xfId="0" applyFont="1" applyBorder="1" applyAlignment="1">
      <alignment horizontal="left" vertical="center"/>
    </xf>
    <xf numFmtId="0" fontId="5" fillId="0" borderId="1" xfId="0" applyFont="1" applyBorder="1" applyAlignment="1">
      <alignment horizontal="left" vertical="center"/>
    </xf>
    <xf numFmtId="177" fontId="4" fillId="7" borderId="2" xfId="0" applyNumberFormat="1" applyFont="1" applyFill="1" applyBorder="1" applyAlignment="1">
      <alignment horizontal="right" vertical="center" shrinkToFit="1"/>
    </xf>
    <xf numFmtId="177" fontId="4" fillId="7" borderId="3" xfId="0" applyNumberFormat="1" applyFont="1" applyFill="1" applyBorder="1" applyAlignment="1">
      <alignment horizontal="right" vertical="center" shrinkToFit="1"/>
    </xf>
    <xf numFmtId="177" fontId="4" fillId="7" borderId="42" xfId="0" applyNumberFormat="1" applyFont="1" applyFill="1" applyBorder="1" applyAlignment="1">
      <alignment horizontal="right" vertical="center" shrinkToFit="1"/>
    </xf>
    <xf numFmtId="0" fontId="5" fillId="4" borderId="39"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40"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9" fillId="7" borderId="1" xfId="0" applyFont="1" applyFill="1" applyBorder="1" applyAlignment="1">
      <alignment horizontal="center" wrapText="1"/>
    </xf>
    <xf numFmtId="0" fontId="9" fillId="7" borderId="46" xfId="0" applyFont="1" applyFill="1" applyBorder="1" applyAlignment="1">
      <alignment horizontal="center" wrapText="1"/>
    </xf>
    <xf numFmtId="0" fontId="38" fillId="4" borderId="52" xfId="0" applyFont="1" applyFill="1" applyBorder="1" applyAlignment="1">
      <alignment horizontal="center" wrapText="1" shrinkToFit="1"/>
    </xf>
    <xf numFmtId="0" fontId="38" fillId="4" borderId="0" xfId="0" applyFont="1" applyFill="1" applyAlignment="1">
      <alignment horizontal="center" wrapText="1" shrinkToFit="1"/>
    </xf>
    <xf numFmtId="0" fontId="38" fillId="4" borderId="30" xfId="0" applyFont="1" applyFill="1" applyBorder="1" applyAlignment="1">
      <alignment horizontal="center" wrapText="1" shrinkToFit="1"/>
    </xf>
    <xf numFmtId="0" fontId="5" fillId="4" borderId="56" xfId="0" applyFont="1" applyFill="1" applyBorder="1" applyAlignment="1">
      <alignment horizontal="center" vertical="center"/>
    </xf>
    <xf numFmtId="0" fontId="5" fillId="0" borderId="16" xfId="0" applyFont="1" applyBorder="1" applyAlignment="1" applyProtection="1">
      <alignment horizontal="center" vertical="center"/>
      <protection locked="0"/>
    </xf>
    <xf numFmtId="0" fontId="5" fillId="0" borderId="17"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57"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4" borderId="14" xfId="0" applyFont="1" applyFill="1" applyBorder="1" applyAlignment="1">
      <alignment horizontal="center" vertical="center" shrinkToFit="1"/>
    </xf>
    <xf numFmtId="0" fontId="27" fillId="7" borderId="10" xfId="0" applyFont="1" applyFill="1" applyBorder="1" applyAlignment="1">
      <alignment horizontal="left" vertical="center" wrapText="1" shrinkToFit="1"/>
    </xf>
    <xf numFmtId="0" fontId="27" fillId="7" borderId="11" xfId="0" applyFont="1" applyFill="1" applyBorder="1" applyAlignment="1">
      <alignment horizontal="left" vertical="center" wrapText="1" shrinkToFit="1"/>
    </xf>
    <xf numFmtId="0" fontId="27" fillId="7" borderId="41" xfId="0" applyFont="1" applyFill="1" applyBorder="1" applyAlignment="1">
      <alignment horizontal="left" vertical="center" wrapText="1" shrinkToFit="1"/>
    </xf>
    <xf numFmtId="38" fontId="4" fillId="0" borderId="1" xfId="1" applyFont="1" applyFill="1" applyBorder="1" applyAlignment="1" applyProtection="1">
      <alignment horizontal="right" vertical="center" shrinkToFit="1"/>
      <protection locked="0"/>
    </xf>
    <xf numFmtId="0" fontId="5" fillId="0" borderId="10" xfId="0" applyFont="1" applyBorder="1" applyAlignment="1">
      <alignment horizontal="left" vertical="center"/>
    </xf>
    <xf numFmtId="0" fontId="5" fillId="0" borderId="10" xfId="0" applyFont="1" applyBorder="1" applyAlignment="1" applyProtection="1">
      <alignment horizontal="center" vertical="center" shrinkToFit="1"/>
      <protection locked="0"/>
    </xf>
    <xf numFmtId="0" fontId="5" fillId="0" borderId="11" xfId="0" applyFont="1" applyBorder="1" applyAlignment="1" applyProtection="1">
      <alignment horizontal="center" vertical="center" shrinkToFit="1"/>
      <protection locked="0"/>
    </xf>
    <xf numFmtId="0" fontId="5" fillId="0" borderId="12" xfId="0" applyFont="1" applyBorder="1" applyAlignment="1" applyProtection="1">
      <alignment horizontal="center" vertical="center" shrinkToFit="1"/>
      <protection locked="0"/>
    </xf>
    <xf numFmtId="49" fontId="4" fillId="0" borderId="10" xfId="2" applyNumberFormat="1" applyFont="1" applyBorder="1" applyAlignment="1" applyProtection="1">
      <alignment horizontal="center" vertical="center" shrinkToFit="1"/>
      <protection locked="0"/>
    </xf>
    <xf numFmtId="49" fontId="4" fillId="0" borderId="11" xfId="0" applyNumberFormat="1" applyFont="1" applyBorder="1" applyAlignment="1" applyProtection="1">
      <alignment horizontal="center" vertical="center" shrinkToFit="1"/>
      <protection locked="0"/>
    </xf>
    <xf numFmtId="38" fontId="4" fillId="0" borderId="12" xfId="1" applyFont="1" applyFill="1" applyBorder="1" applyAlignment="1" applyProtection="1">
      <alignment horizontal="right" vertical="center" shrinkToFit="1"/>
      <protection locked="0"/>
    </xf>
    <xf numFmtId="0" fontId="12" fillId="3" borderId="38" xfId="0" applyFont="1" applyFill="1" applyBorder="1" applyAlignment="1">
      <alignment horizontal="left" vertical="top" wrapText="1"/>
    </xf>
    <xf numFmtId="0" fontId="12" fillId="3" borderId="3" xfId="0" applyFont="1" applyFill="1" applyBorder="1" applyAlignment="1">
      <alignment horizontal="left" vertical="top"/>
    </xf>
    <xf numFmtId="0" fontId="12" fillId="3" borderId="42" xfId="0" applyFont="1" applyFill="1" applyBorder="1" applyAlignment="1">
      <alignment horizontal="left" vertical="top"/>
    </xf>
    <xf numFmtId="0" fontId="12" fillId="3" borderId="29" xfId="0" applyFont="1" applyFill="1" applyBorder="1" applyAlignment="1">
      <alignment horizontal="left" vertical="top"/>
    </xf>
    <xf numFmtId="0" fontId="12" fillId="3" borderId="0" xfId="0" applyFont="1" applyFill="1" applyAlignment="1">
      <alignment horizontal="left" vertical="top"/>
    </xf>
    <xf numFmtId="0" fontId="12" fillId="3" borderId="30" xfId="0" applyFont="1" applyFill="1" applyBorder="1" applyAlignment="1">
      <alignment horizontal="left" vertical="top"/>
    </xf>
    <xf numFmtId="0" fontId="12" fillId="3" borderId="31" xfId="0" applyFont="1" applyFill="1" applyBorder="1" applyAlignment="1">
      <alignment horizontal="right" vertical="center"/>
    </xf>
    <xf numFmtId="0" fontId="12" fillId="3" borderId="32" xfId="0" applyFont="1" applyFill="1" applyBorder="1" applyAlignment="1">
      <alignment horizontal="right" vertical="center"/>
    </xf>
    <xf numFmtId="0" fontId="12" fillId="3" borderId="33" xfId="0" applyFont="1" applyFill="1" applyBorder="1" applyAlignment="1">
      <alignment horizontal="right" vertical="center"/>
    </xf>
    <xf numFmtId="0" fontId="4" fillId="5" borderId="10" xfId="0" applyFont="1" applyFill="1" applyBorder="1" applyAlignment="1" applyProtection="1">
      <alignment horizontal="center" vertical="center" shrinkToFit="1"/>
      <protection locked="0"/>
    </xf>
    <xf numFmtId="0" fontId="4" fillId="5" borderId="11" xfId="0" applyFont="1" applyFill="1" applyBorder="1" applyAlignment="1" applyProtection="1">
      <alignment horizontal="center" vertical="center" shrinkToFit="1"/>
      <protection locked="0"/>
    </xf>
    <xf numFmtId="0" fontId="4" fillId="5" borderId="12" xfId="0" applyFont="1" applyFill="1" applyBorder="1" applyAlignment="1" applyProtection="1">
      <alignment horizontal="center" vertical="center" shrinkToFit="1"/>
      <protection locked="0"/>
    </xf>
    <xf numFmtId="0" fontId="22" fillId="5" borderId="10" xfId="2" applyFont="1" applyFill="1" applyBorder="1" applyAlignment="1" applyProtection="1">
      <alignment horizontal="center" vertical="center" shrinkToFit="1"/>
      <protection locked="0"/>
    </xf>
    <xf numFmtId="0" fontId="4" fillId="5" borderId="41" xfId="0" applyFont="1" applyFill="1" applyBorder="1" applyAlignment="1" applyProtection="1">
      <alignment horizontal="center" vertical="center" shrinkToFit="1"/>
      <protection locked="0"/>
    </xf>
    <xf numFmtId="0" fontId="19" fillId="5" borderId="11" xfId="0" applyFont="1" applyFill="1" applyBorder="1" applyAlignment="1">
      <alignment horizontal="left" vertical="center"/>
    </xf>
    <xf numFmtId="0" fontId="19" fillId="5" borderId="41" xfId="0" applyFont="1" applyFill="1" applyBorder="1" applyAlignment="1">
      <alignment horizontal="left" vertical="center"/>
    </xf>
    <xf numFmtId="0" fontId="4" fillId="5" borderId="20" xfId="0" applyFont="1" applyFill="1" applyBorder="1" applyAlignment="1" applyProtection="1">
      <alignment horizontal="center" vertical="center" shrinkToFit="1"/>
      <protection locked="0"/>
    </xf>
    <xf numFmtId="0" fontId="4" fillId="5" borderId="47" xfId="0" applyFont="1" applyFill="1" applyBorder="1" applyAlignment="1" applyProtection="1">
      <alignment horizontal="center" vertical="center" shrinkToFit="1"/>
      <protection locked="0"/>
    </xf>
    <xf numFmtId="0" fontId="4" fillId="5" borderId="21" xfId="0" applyFont="1" applyFill="1" applyBorder="1" applyAlignment="1" applyProtection="1">
      <alignment horizontal="center" vertical="center" shrinkToFit="1"/>
      <protection locked="0"/>
    </xf>
    <xf numFmtId="0" fontId="4" fillId="5" borderId="48" xfId="0" applyFont="1" applyFill="1" applyBorder="1" applyAlignment="1" applyProtection="1">
      <alignment horizontal="center" vertical="center" shrinkToFit="1"/>
      <protection locked="0"/>
    </xf>
    <xf numFmtId="0" fontId="12" fillId="5" borderId="11"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4" fillId="5" borderId="11" xfId="0" applyFont="1" applyFill="1" applyBorder="1" applyAlignment="1">
      <alignment horizontal="center" vertical="center"/>
    </xf>
    <xf numFmtId="0" fontId="4" fillId="5" borderId="41" xfId="0" applyFont="1" applyFill="1" applyBorder="1" applyAlignment="1">
      <alignment horizontal="center" vertical="center"/>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34" xfId="0" applyFont="1" applyFill="1" applyBorder="1" applyAlignment="1">
      <alignment horizontal="left" vertical="center" wrapText="1"/>
    </xf>
    <xf numFmtId="0" fontId="12" fillId="5" borderId="7"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35"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5" borderId="9" xfId="0" applyFont="1" applyFill="1" applyBorder="1" applyAlignment="1">
      <alignment horizontal="left" vertical="center" wrapText="1"/>
    </xf>
    <xf numFmtId="0" fontId="4" fillId="5" borderId="3" xfId="0" applyFont="1" applyFill="1" applyBorder="1" applyAlignment="1">
      <alignment horizontal="center" vertical="center"/>
    </xf>
    <xf numFmtId="0" fontId="4" fillId="5" borderId="42" xfId="0" applyFont="1" applyFill="1" applyBorder="1" applyAlignment="1">
      <alignment horizontal="center" vertical="center"/>
    </xf>
    <xf numFmtId="0" fontId="4" fillId="5" borderId="0" xfId="0" applyFont="1" applyFill="1" applyAlignment="1">
      <alignment horizontal="center" vertical="center"/>
    </xf>
    <xf numFmtId="0" fontId="4" fillId="5" borderId="30"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43" xfId="0" applyFont="1" applyFill="1" applyBorder="1" applyAlignment="1">
      <alignment horizontal="center" vertical="center"/>
    </xf>
    <xf numFmtId="0" fontId="39"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9" fillId="3" borderId="11" xfId="0" applyFont="1" applyFill="1" applyBorder="1" applyAlignment="1">
      <alignment horizontal="left" vertical="center"/>
    </xf>
    <xf numFmtId="0" fontId="19" fillId="3" borderId="41" xfId="0" applyFont="1" applyFill="1" applyBorder="1" applyAlignment="1">
      <alignment horizontal="left" vertical="center"/>
    </xf>
    <xf numFmtId="0" fontId="20" fillId="3" borderId="10" xfId="2" quotePrefix="1" applyFont="1" applyFill="1" applyBorder="1" applyAlignment="1" applyProtection="1">
      <alignment horizontal="center" vertical="center"/>
      <protection locked="0"/>
    </xf>
    <xf numFmtId="0" fontId="20" fillId="3" borderId="11" xfId="0" applyFont="1" applyFill="1" applyBorder="1" applyAlignment="1" applyProtection="1">
      <alignment horizontal="center" vertical="center"/>
      <protection locked="0"/>
    </xf>
    <xf numFmtId="0" fontId="20" fillId="3" borderId="12" xfId="0" applyFont="1" applyFill="1" applyBorder="1" applyAlignment="1" applyProtection="1">
      <alignment horizontal="center" vertical="center"/>
      <protection locked="0"/>
    </xf>
    <xf numFmtId="0" fontId="20" fillId="3" borderId="10" xfId="0" quotePrefix="1" applyFont="1" applyFill="1" applyBorder="1" applyAlignment="1" applyProtection="1">
      <alignment horizontal="center" vertical="center"/>
      <protection locked="0"/>
    </xf>
    <xf numFmtId="38" fontId="4" fillId="3" borderId="1" xfId="1" applyFont="1" applyFill="1" applyBorder="1" applyAlignment="1" applyProtection="1">
      <alignment horizontal="right" vertical="center" shrinkToFit="1"/>
      <protection locked="0"/>
    </xf>
    <xf numFmtId="38" fontId="4" fillId="3" borderId="10" xfId="1" applyFont="1" applyFill="1" applyBorder="1" applyAlignment="1" applyProtection="1">
      <alignment horizontal="right" vertical="center" shrinkToFit="1"/>
      <protection locked="0"/>
    </xf>
    <xf numFmtId="0" fontId="5" fillId="3" borderId="12" xfId="0" applyFont="1" applyFill="1" applyBorder="1" applyAlignment="1">
      <alignment horizontal="left" vertical="center"/>
    </xf>
    <xf numFmtId="0" fontId="5" fillId="3" borderId="10" xfId="0" applyFont="1" applyFill="1" applyBorder="1" applyAlignment="1">
      <alignment horizontal="left" vertical="center"/>
    </xf>
    <xf numFmtId="0" fontId="5" fillId="3" borderId="1" xfId="0" applyFont="1" applyFill="1" applyBorder="1" applyAlignment="1">
      <alignment horizontal="left" vertical="center"/>
    </xf>
    <xf numFmtId="38" fontId="4" fillId="3" borderId="12" xfId="1" applyFont="1" applyFill="1" applyBorder="1" applyAlignment="1" applyProtection="1">
      <alignment horizontal="right" vertical="center" shrinkToFit="1"/>
      <protection locked="0"/>
    </xf>
    <xf numFmtId="0" fontId="3" fillId="0" borderId="10" xfId="2" applyBorder="1" applyAlignment="1" applyProtection="1">
      <alignment horizontal="center" vertical="center" shrinkToFit="1"/>
      <protection locked="0"/>
    </xf>
    <xf numFmtId="0" fontId="4" fillId="0" borderId="2" xfId="0" applyFont="1" applyBorder="1" applyAlignment="1" applyProtection="1">
      <alignment horizontal="center" vertical="center" shrinkToFit="1"/>
      <protection locked="0"/>
    </xf>
    <xf numFmtId="0" fontId="4" fillId="0" borderId="3" xfId="0" applyFont="1" applyBorder="1" applyAlignment="1" applyProtection="1">
      <alignment horizontal="center" vertical="center" shrinkToFit="1"/>
      <protection locked="0"/>
    </xf>
    <xf numFmtId="0" fontId="4" fillId="0" borderId="4" xfId="0" applyFont="1" applyBorder="1" applyAlignment="1" applyProtection="1">
      <alignment horizontal="center" vertical="center" shrinkToFit="1"/>
      <protection locked="0"/>
    </xf>
    <xf numFmtId="0" fontId="4" fillId="3" borderId="10" xfId="0" applyFont="1" applyFill="1" applyBorder="1" applyAlignment="1" applyProtection="1">
      <alignment horizontal="center" vertical="center" shrinkToFit="1"/>
      <protection locked="0"/>
    </xf>
    <xf numFmtId="0" fontId="4" fillId="3" borderId="11" xfId="0" applyFont="1" applyFill="1" applyBorder="1" applyAlignment="1" applyProtection="1">
      <alignment horizontal="center" vertical="center" shrinkToFit="1"/>
      <protection locked="0"/>
    </xf>
    <xf numFmtId="0" fontId="4" fillId="3" borderId="12" xfId="0" applyFont="1" applyFill="1" applyBorder="1" applyAlignment="1" applyProtection="1">
      <alignment horizontal="center" vertical="center" shrinkToFit="1"/>
      <protection locked="0"/>
    </xf>
    <xf numFmtId="0" fontId="4" fillId="3" borderId="41" xfId="0" applyFont="1" applyFill="1" applyBorder="1" applyAlignment="1" applyProtection="1">
      <alignment horizontal="center" vertical="center" shrinkToFit="1"/>
      <protection locked="0"/>
    </xf>
    <xf numFmtId="0" fontId="22" fillId="3" borderId="10" xfId="2" applyFont="1" applyFill="1" applyBorder="1" applyAlignment="1" applyProtection="1">
      <alignment horizontal="center" vertical="center" shrinkToFit="1"/>
      <protection locked="0"/>
    </xf>
    <xf numFmtId="0" fontId="21" fillId="3" borderId="11" xfId="0" applyFont="1" applyFill="1" applyBorder="1" applyAlignment="1">
      <alignment horizontal="left" vertical="center"/>
    </xf>
    <xf numFmtId="0" fontId="21" fillId="3" borderId="41" xfId="0" applyFont="1" applyFill="1" applyBorder="1" applyAlignment="1">
      <alignment horizontal="left" vertical="center"/>
    </xf>
    <xf numFmtId="0" fontId="4" fillId="3" borderId="13" xfId="0" applyFont="1" applyFill="1" applyBorder="1" applyAlignment="1" applyProtection="1">
      <alignment horizontal="center" vertical="center" shrinkToFit="1"/>
      <protection locked="0"/>
    </xf>
    <xf numFmtId="0" fontId="4" fillId="3" borderId="14" xfId="0" applyFont="1" applyFill="1" applyBorder="1" applyAlignment="1" applyProtection="1">
      <alignment horizontal="center" vertical="center" shrinkToFit="1"/>
      <protection locked="0"/>
    </xf>
    <xf numFmtId="0" fontId="4" fillId="3" borderId="15" xfId="0" applyFont="1" applyFill="1" applyBorder="1" applyAlignment="1" applyProtection="1">
      <alignment horizontal="center" vertical="center" shrinkToFit="1"/>
      <protection locked="0"/>
    </xf>
    <xf numFmtId="0" fontId="4" fillId="3" borderId="44" xfId="0" applyFont="1" applyFill="1" applyBorder="1" applyAlignment="1" applyProtection="1">
      <alignment horizontal="center" vertical="center" shrinkToFit="1"/>
      <protection locked="0"/>
    </xf>
    <xf numFmtId="0" fontId="4" fillId="3" borderId="16" xfId="0" applyFont="1" applyFill="1" applyBorder="1" applyAlignment="1" applyProtection="1">
      <alignment horizontal="center" vertical="center" shrinkToFit="1"/>
      <protection locked="0"/>
    </xf>
    <xf numFmtId="0" fontId="4" fillId="3" borderId="17" xfId="0" applyFont="1" applyFill="1" applyBorder="1" applyAlignment="1" applyProtection="1">
      <alignment horizontal="center" vertical="center" shrinkToFit="1"/>
      <protection locked="0"/>
    </xf>
    <xf numFmtId="0" fontId="4" fillId="3" borderId="18" xfId="0" applyFont="1" applyFill="1" applyBorder="1" applyAlignment="1" applyProtection="1">
      <alignment horizontal="center" vertical="center" shrinkToFit="1"/>
      <protection locked="0"/>
    </xf>
    <xf numFmtId="0" fontId="4" fillId="3" borderId="45" xfId="0" applyFont="1" applyFill="1" applyBorder="1" applyAlignment="1" applyProtection="1">
      <alignment horizontal="center" vertical="center" shrinkToFit="1"/>
      <protection locked="0"/>
    </xf>
    <xf numFmtId="0" fontId="22" fillId="3" borderId="10" xfId="2" applyFont="1" applyFill="1" applyBorder="1" applyAlignment="1" applyProtection="1">
      <alignment horizontal="center" vertical="center"/>
      <protection locked="0"/>
    </xf>
    <xf numFmtId="0" fontId="17" fillId="3" borderId="11" xfId="0" applyFont="1" applyFill="1" applyBorder="1" applyAlignment="1" applyProtection="1">
      <alignment horizontal="center" vertical="center"/>
      <protection locked="0"/>
    </xf>
    <xf numFmtId="0" fontId="17" fillId="3" borderId="22" xfId="0" applyFont="1" applyFill="1" applyBorder="1" applyAlignment="1" applyProtection="1">
      <alignment horizontal="center" vertical="center"/>
      <protection locked="0"/>
    </xf>
    <xf numFmtId="0" fontId="27" fillId="3" borderId="11" xfId="0" applyFont="1" applyFill="1" applyBorder="1" applyAlignment="1">
      <alignment horizontal="center" vertical="center" shrinkToFit="1"/>
    </xf>
    <xf numFmtId="0" fontId="27" fillId="3" borderId="41" xfId="0" applyFont="1" applyFill="1" applyBorder="1" applyAlignment="1">
      <alignment horizontal="center" vertical="center" shrinkToFit="1"/>
    </xf>
    <xf numFmtId="0" fontId="5" fillId="3" borderId="10"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5" fillId="3" borderId="12" xfId="0" applyFont="1" applyFill="1" applyBorder="1" applyAlignment="1" applyProtection="1">
      <alignment horizontal="center" vertical="center"/>
      <protection locked="0"/>
    </xf>
    <xf numFmtId="0" fontId="5" fillId="3" borderId="11" xfId="0" applyFont="1" applyFill="1" applyBorder="1" applyAlignment="1">
      <alignment horizontal="left" vertical="center"/>
    </xf>
    <xf numFmtId="0" fontId="5" fillId="3" borderId="41" xfId="0" applyFont="1" applyFill="1" applyBorder="1" applyAlignment="1">
      <alignment horizontal="left" vertical="center"/>
    </xf>
    <xf numFmtId="38" fontId="5" fillId="3" borderId="10" xfId="1" applyFont="1" applyFill="1" applyBorder="1" applyAlignment="1" applyProtection="1">
      <alignment horizontal="center" vertical="center" shrinkToFit="1"/>
      <protection locked="0"/>
    </xf>
    <xf numFmtId="38" fontId="5" fillId="3" borderId="11" xfId="1" applyFont="1" applyFill="1" applyBorder="1" applyAlignment="1" applyProtection="1">
      <alignment horizontal="center" vertical="center" shrinkToFit="1"/>
      <protection locked="0"/>
    </xf>
    <xf numFmtId="0" fontId="5" fillId="4" borderId="14" xfId="0" applyFont="1" applyFill="1" applyBorder="1" applyAlignment="1" applyProtection="1">
      <alignment horizontal="center" vertical="center" shrinkToFit="1"/>
      <protection locked="0"/>
    </xf>
    <xf numFmtId="0" fontId="5" fillId="3" borderId="53" xfId="0" applyFont="1" applyFill="1" applyBorder="1" applyAlignment="1" applyProtection="1">
      <alignment horizontal="center" vertical="center" shrinkToFit="1"/>
      <protection locked="0"/>
    </xf>
    <xf numFmtId="0" fontId="5" fillId="3" borderId="14" xfId="0" applyFont="1" applyFill="1" applyBorder="1" applyAlignment="1" applyProtection="1">
      <alignment horizontal="center" vertical="center" shrinkToFit="1"/>
      <protection locked="0"/>
    </xf>
    <xf numFmtId="0" fontId="5" fillId="3" borderId="44" xfId="0" applyFont="1" applyFill="1" applyBorder="1" applyAlignment="1" applyProtection="1">
      <alignment horizontal="center" vertical="center" shrinkToFit="1"/>
      <protection locked="0"/>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58" xfId="0" applyFont="1" applyFill="1" applyBorder="1" applyAlignment="1">
      <alignment horizontal="center" vertical="center"/>
    </xf>
    <xf numFmtId="176" fontId="5" fillId="3" borderId="57" xfId="0" applyNumberFormat="1" applyFont="1" applyFill="1" applyBorder="1" applyAlignment="1" applyProtection="1">
      <alignment horizontal="center" vertical="center"/>
      <protection locked="0"/>
    </xf>
    <xf numFmtId="176" fontId="5" fillId="3" borderId="17" xfId="0" applyNumberFormat="1" applyFont="1" applyFill="1" applyBorder="1" applyAlignment="1" applyProtection="1">
      <alignment horizontal="center" vertical="center"/>
      <protection locked="0"/>
    </xf>
    <xf numFmtId="176" fontId="5" fillId="3" borderId="45" xfId="0" applyNumberFormat="1"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shrinkToFit="1"/>
      <protection locked="0"/>
    </xf>
    <xf numFmtId="0" fontId="5" fillId="3" borderId="11" xfId="0" applyFont="1" applyFill="1" applyBorder="1" applyAlignment="1" applyProtection="1">
      <alignment horizontal="center" vertical="center" shrinkToFit="1"/>
      <protection locked="0"/>
    </xf>
    <xf numFmtId="0" fontId="5" fillId="3" borderId="12" xfId="0" applyFont="1" applyFill="1" applyBorder="1" applyAlignment="1" applyProtection="1">
      <alignment horizontal="center" vertical="center" shrinkToFit="1"/>
      <protection locked="0"/>
    </xf>
    <xf numFmtId="0" fontId="5" fillId="3" borderId="56" xfId="0" applyFont="1" applyFill="1" applyBorder="1" applyAlignment="1" applyProtection="1">
      <alignment horizontal="center" vertical="center" shrinkToFit="1"/>
      <protection locked="0"/>
    </xf>
    <xf numFmtId="0" fontId="4" fillId="3" borderId="23" xfId="0" applyFont="1" applyFill="1" applyBorder="1" applyAlignment="1" applyProtection="1">
      <alignment horizontal="center" vertical="center" shrinkToFit="1"/>
      <protection locked="0"/>
    </xf>
    <xf numFmtId="0" fontId="4" fillId="3" borderId="19" xfId="0" applyFont="1" applyFill="1" applyBorder="1" applyAlignment="1" applyProtection="1">
      <alignment horizontal="center" vertical="center" shrinkToFit="1"/>
      <protection locked="0"/>
    </xf>
    <xf numFmtId="0" fontId="4" fillId="3" borderId="54" xfId="0" applyFont="1" applyFill="1" applyBorder="1" applyAlignment="1" applyProtection="1">
      <alignment horizontal="center" vertical="center" shrinkToFit="1"/>
      <protection locked="0"/>
    </xf>
    <xf numFmtId="0" fontId="4" fillId="3" borderId="7" xfId="0" applyFont="1" applyFill="1" applyBorder="1" applyAlignment="1" applyProtection="1">
      <alignment horizontal="center" vertical="center" shrinkToFit="1"/>
      <protection locked="0"/>
    </xf>
    <xf numFmtId="0" fontId="4" fillId="3" borderId="8" xfId="0" applyFont="1" applyFill="1" applyBorder="1" applyAlignment="1" applyProtection="1">
      <alignment horizontal="center" vertical="center" shrinkToFit="1"/>
      <protection locked="0"/>
    </xf>
    <xf numFmtId="0" fontId="4" fillId="3" borderId="55" xfId="0" applyFont="1" applyFill="1" applyBorder="1" applyAlignment="1" applyProtection="1">
      <alignment horizontal="center" vertical="center" shrinkToFit="1"/>
      <protection locked="0"/>
    </xf>
    <xf numFmtId="0" fontId="4" fillId="3" borderId="50" xfId="0" applyFont="1" applyFill="1" applyBorder="1" applyAlignment="1" applyProtection="1">
      <alignment horizontal="center" vertical="center" shrinkToFit="1"/>
      <protection locked="0"/>
    </xf>
    <xf numFmtId="0" fontId="4" fillId="3" borderId="0" xfId="0" applyFont="1" applyFill="1" applyAlignment="1" applyProtection="1">
      <alignment horizontal="center" vertical="center" shrinkToFit="1"/>
      <protection locked="0"/>
    </xf>
    <xf numFmtId="0" fontId="4" fillId="3" borderId="30" xfId="0" applyFont="1" applyFill="1" applyBorder="1" applyAlignment="1" applyProtection="1">
      <alignment horizontal="center" vertical="center" shrinkToFit="1"/>
      <protection locked="0"/>
    </xf>
    <xf numFmtId="0" fontId="4" fillId="3" borderId="43" xfId="0" applyFont="1" applyFill="1" applyBorder="1" applyAlignment="1" applyProtection="1">
      <alignment horizontal="center" vertical="center" shrinkToFit="1"/>
      <protection locked="0"/>
    </xf>
    <xf numFmtId="0" fontId="11" fillId="3" borderId="2" xfId="0" applyFont="1" applyFill="1" applyBorder="1" applyAlignment="1">
      <alignment horizontal="left" vertical="center" wrapText="1"/>
    </xf>
    <xf numFmtId="0" fontId="11" fillId="3" borderId="3" xfId="0" applyFont="1" applyFill="1" applyBorder="1" applyAlignment="1">
      <alignment horizontal="left" vertical="center"/>
    </xf>
    <xf numFmtId="0" fontId="11" fillId="3" borderId="42" xfId="0" applyFont="1" applyFill="1" applyBorder="1" applyAlignment="1">
      <alignment horizontal="left" vertical="center"/>
    </xf>
    <xf numFmtId="0" fontId="11" fillId="3" borderId="29" xfId="0" applyFont="1" applyFill="1" applyBorder="1" applyAlignment="1">
      <alignment horizontal="left" vertical="center"/>
    </xf>
    <xf numFmtId="0" fontId="11" fillId="3" borderId="0" xfId="0" applyFont="1" applyFill="1" applyAlignment="1">
      <alignment horizontal="left" vertical="center"/>
    </xf>
    <xf numFmtId="0" fontId="11" fillId="3" borderId="30" xfId="0" applyFont="1" applyFill="1" applyBorder="1" applyAlignment="1">
      <alignment horizontal="left" vertical="center"/>
    </xf>
    <xf numFmtId="0" fontId="11" fillId="3" borderId="0" xfId="0" applyFont="1" applyFill="1" applyAlignment="1">
      <alignment horizontal="left" vertical="center" wrapText="1"/>
    </xf>
    <xf numFmtId="0" fontId="11" fillId="3" borderId="30" xfId="0" applyFont="1" applyFill="1" applyBorder="1" applyAlignment="1">
      <alignment horizontal="left" vertical="center" wrapText="1"/>
    </xf>
  </cellXfs>
  <cellStyles count="3">
    <cellStyle name="Hyperlink" xfId="2" xr:uid="{00000000-000B-0000-0000-000008000000}"/>
    <cellStyle name="桁区切り" xfId="1" builtinId="6"/>
    <cellStyle name="標準" xfId="0" builtinId="0"/>
  </cellStyles>
  <dxfs count="0"/>
  <tableStyles count="0" defaultTableStyle="TableStyleMedium2" defaultPivotStyle="PivotStyleLight16"/>
  <colors>
    <mruColors>
      <color rgb="FF99E17F"/>
      <color rgb="FFE9C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5</xdr:row>
          <xdr:rowOff>12700</xdr:rowOff>
        </xdr:from>
        <xdr:to>
          <xdr:col>1</xdr:col>
          <xdr:colOff>38100</xdr:colOff>
          <xdr:row>6</xdr:row>
          <xdr:rowOff>38100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xdr:row>
          <xdr:rowOff>0</xdr:rowOff>
        </xdr:from>
        <xdr:to>
          <xdr:col>1</xdr:col>
          <xdr:colOff>38100</xdr:colOff>
          <xdr:row>17</xdr:row>
          <xdr:rowOff>6350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24</xdr:row>
          <xdr:rowOff>12700</xdr:rowOff>
        </xdr:from>
        <xdr:to>
          <xdr:col>21</xdr:col>
          <xdr:colOff>0</xdr:colOff>
          <xdr:row>25</xdr:row>
          <xdr:rowOff>6350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25400</xdr:colOff>
          <xdr:row>24</xdr:row>
          <xdr:rowOff>12700</xdr:rowOff>
        </xdr:from>
        <xdr:to>
          <xdr:col>25</xdr:col>
          <xdr:colOff>0</xdr:colOff>
          <xdr:row>25</xdr:row>
          <xdr:rowOff>6350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16</xdr:row>
          <xdr:rowOff>0</xdr:rowOff>
        </xdr:from>
        <xdr:to>
          <xdr:col>6</xdr:col>
          <xdr:colOff>0</xdr:colOff>
          <xdr:row>17</xdr:row>
          <xdr:rowOff>6350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16</xdr:row>
          <xdr:rowOff>0</xdr:rowOff>
        </xdr:from>
        <xdr:to>
          <xdr:col>13</xdr:col>
          <xdr:colOff>0</xdr:colOff>
          <xdr:row>17</xdr:row>
          <xdr:rowOff>6350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69850</xdr:colOff>
          <xdr:row>52</xdr:row>
          <xdr:rowOff>12700</xdr:rowOff>
        </xdr:from>
        <xdr:to>
          <xdr:col>15</xdr:col>
          <xdr:colOff>76200</xdr:colOff>
          <xdr:row>53</xdr:row>
          <xdr:rowOff>38100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0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69850</xdr:colOff>
          <xdr:row>52</xdr:row>
          <xdr:rowOff>12700</xdr:rowOff>
        </xdr:from>
        <xdr:to>
          <xdr:col>22</xdr:col>
          <xdr:colOff>76200</xdr:colOff>
          <xdr:row>53</xdr:row>
          <xdr:rowOff>38100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0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76200</xdr:colOff>
          <xdr:row>57</xdr:row>
          <xdr:rowOff>25400</xdr:rowOff>
        </xdr:from>
        <xdr:to>
          <xdr:col>25</xdr:col>
          <xdr:colOff>101600</xdr:colOff>
          <xdr:row>58</xdr:row>
          <xdr:rowOff>6350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0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5</xdr:row>
          <xdr:rowOff>0</xdr:rowOff>
        </xdr:from>
        <xdr:to>
          <xdr:col>15</xdr:col>
          <xdr:colOff>0</xdr:colOff>
          <xdr:row>6</xdr:row>
          <xdr:rowOff>6350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0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xdr:row>
          <xdr:rowOff>12700</xdr:rowOff>
        </xdr:from>
        <xdr:to>
          <xdr:col>2</xdr:col>
          <xdr:colOff>38100</xdr:colOff>
          <xdr:row>8</xdr:row>
          <xdr:rowOff>6350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xdr:row>
          <xdr:rowOff>0</xdr:rowOff>
        </xdr:from>
        <xdr:to>
          <xdr:col>2</xdr:col>
          <xdr:colOff>38100</xdr:colOff>
          <xdr:row>11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xdr:row>
          <xdr:rowOff>215900</xdr:rowOff>
        </xdr:from>
        <xdr:to>
          <xdr:col>2</xdr:col>
          <xdr:colOff>38100</xdr:colOff>
          <xdr:row>11</xdr:row>
          <xdr:rowOff>228600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0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38100</xdr:rowOff>
        </xdr:from>
        <xdr:to>
          <xdr:col>5</xdr:col>
          <xdr:colOff>63500</xdr:colOff>
          <xdr:row>55</xdr:row>
          <xdr:rowOff>25400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0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54</xdr:row>
          <xdr:rowOff>38100</xdr:rowOff>
        </xdr:from>
        <xdr:to>
          <xdr:col>9</xdr:col>
          <xdr:colOff>63500</xdr:colOff>
          <xdr:row>55</xdr:row>
          <xdr:rowOff>25400</xdr:rowOff>
        </xdr:to>
        <xdr:sp macro="" textlink="">
          <xdr:nvSpPr>
            <xdr:cNvPr id="3136" name="Check Box 64" hidden="1">
              <a:extLst>
                <a:ext uri="{63B3BB69-23CF-44E3-9099-C40C66FF867C}">
                  <a14:compatExt spid="_x0000_s3136"/>
                </a:ext>
                <a:ext uri="{FF2B5EF4-FFF2-40B4-BE49-F238E27FC236}">
                  <a16:creationId xmlns:a16="http://schemas.microsoft.com/office/drawing/2014/main" id="{00000000-0008-0000-0000-00004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63500</xdr:colOff>
          <xdr:row>54</xdr:row>
          <xdr:rowOff>31750</xdr:rowOff>
        </xdr:from>
        <xdr:to>
          <xdr:col>17</xdr:col>
          <xdr:colOff>63500</xdr:colOff>
          <xdr:row>55</xdr:row>
          <xdr:rowOff>25400</xdr:rowOff>
        </xdr:to>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0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69850</xdr:colOff>
          <xdr:row>54</xdr:row>
          <xdr:rowOff>38100</xdr:rowOff>
        </xdr:from>
        <xdr:to>
          <xdr:col>22</xdr:col>
          <xdr:colOff>76200</xdr:colOff>
          <xdr:row>55</xdr:row>
          <xdr:rowOff>25400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0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31750</xdr:rowOff>
        </xdr:from>
        <xdr:to>
          <xdr:col>5</xdr:col>
          <xdr:colOff>63500</xdr:colOff>
          <xdr:row>56</xdr:row>
          <xdr:rowOff>38100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0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55</xdr:row>
          <xdr:rowOff>31750</xdr:rowOff>
        </xdr:from>
        <xdr:to>
          <xdr:col>8</xdr:col>
          <xdr:colOff>82550</xdr:colOff>
          <xdr:row>56</xdr:row>
          <xdr:rowOff>38100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0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69850</xdr:colOff>
          <xdr:row>55</xdr:row>
          <xdr:rowOff>63500</xdr:rowOff>
        </xdr:from>
        <xdr:to>
          <xdr:col>11</xdr:col>
          <xdr:colOff>0</xdr:colOff>
          <xdr:row>56</xdr:row>
          <xdr:rowOff>6350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0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55</xdr:row>
          <xdr:rowOff>31750</xdr:rowOff>
        </xdr:from>
        <xdr:to>
          <xdr:col>14</xdr:col>
          <xdr:colOff>44450</xdr:colOff>
          <xdr:row>56</xdr:row>
          <xdr:rowOff>38100</xdr:rowOff>
        </xdr:to>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0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69850</xdr:colOff>
          <xdr:row>55</xdr:row>
          <xdr:rowOff>38100</xdr:rowOff>
        </xdr:from>
        <xdr:to>
          <xdr:col>20</xdr:col>
          <xdr:colOff>6350</xdr:colOff>
          <xdr:row>56</xdr:row>
          <xdr:rowOff>6350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0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38100</xdr:colOff>
          <xdr:row>55</xdr:row>
          <xdr:rowOff>38100</xdr:rowOff>
        </xdr:from>
        <xdr:to>
          <xdr:col>23</xdr:col>
          <xdr:colOff>44450</xdr:colOff>
          <xdr:row>56</xdr:row>
          <xdr:rowOff>38100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0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55</xdr:row>
          <xdr:rowOff>38100</xdr:rowOff>
        </xdr:from>
        <xdr:to>
          <xdr:col>16</xdr:col>
          <xdr:colOff>254000</xdr:colOff>
          <xdr:row>56</xdr:row>
          <xdr:rowOff>6350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0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88900</xdr:colOff>
          <xdr:row>58</xdr:row>
          <xdr:rowOff>254000</xdr:rowOff>
        </xdr:from>
        <xdr:to>
          <xdr:col>25</xdr:col>
          <xdr:colOff>114300</xdr:colOff>
          <xdr:row>59</xdr:row>
          <xdr:rowOff>234950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0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184150</xdr:rowOff>
        </xdr:from>
        <xdr:to>
          <xdr:col>1</xdr:col>
          <xdr:colOff>63500</xdr:colOff>
          <xdr:row>64</xdr:row>
          <xdr:rowOff>177800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0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0</xdr:rowOff>
        </xdr:from>
        <xdr:to>
          <xdr:col>1</xdr:col>
          <xdr:colOff>63500</xdr:colOff>
          <xdr:row>64</xdr:row>
          <xdr:rowOff>6350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0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38100</xdr:colOff>
          <xdr:row>55</xdr:row>
          <xdr:rowOff>38100</xdr:rowOff>
        </xdr:from>
        <xdr:to>
          <xdr:col>26</xdr:col>
          <xdr:colOff>44450</xdr:colOff>
          <xdr:row>56</xdr:row>
          <xdr:rowOff>38100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0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23</xdr:col>
      <xdr:colOff>28612</xdr:colOff>
      <xdr:row>15</xdr:row>
      <xdr:rowOff>8653</xdr:rowOff>
    </xdr:from>
    <xdr:to>
      <xdr:col>26</xdr:col>
      <xdr:colOff>362476</xdr:colOff>
      <xdr:row>19</xdr:row>
      <xdr:rowOff>1582</xdr:rowOff>
    </xdr:to>
    <xdr:sp macro="" textlink="">
      <xdr:nvSpPr>
        <xdr:cNvPr id="5" name="角丸四角形 4">
          <a:extLst>
            <a:ext uri="{FF2B5EF4-FFF2-40B4-BE49-F238E27FC236}">
              <a16:creationId xmlns:a16="http://schemas.microsoft.com/office/drawing/2014/main" id="{00000000-0008-0000-0000-000005000000}"/>
            </a:ext>
          </a:extLst>
        </xdr:cNvPr>
        <xdr:cNvSpPr/>
      </xdr:nvSpPr>
      <xdr:spPr>
        <a:xfrm>
          <a:off x="6371141" y="3874682"/>
          <a:ext cx="1129482" cy="1023871"/>
        </a:xfrm>
        <a:prstGeom prst="roundRect">
          <a:avLst>
            <a:gd name="adj" fmla="val 6971"/>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0"/>
        <a:lstStyle/>
        <a:p>
          <a:pPr algn="ctr"/>
          <a:r>
            <a:rPr kumimoji="1" lang="ja-JP" altLang="en-US" sz="2000">
              <a:solidFill>
                <a:schemeClr val="bg1">
                  <a:lumMod val="85000"/>
                </a:schemeClr>
              </a:solidFill>
            </a:rPr>
            <a:t>社印</a:t>
          </a:r>
          <a:endParaRPr kumimoji="1" lang="en-US" altLang="ja-JP" sz="2000">
            <a:solidFill>
              <a:schemeClr val="bg1">
                <a:lumMod val="85000"/>
              </a:schemeClr>
            </a:solidFill>
          </a:endParaRPr>
        </a:p>
      </xdr:txBody>
    </xdr:sp>
    <xdr:clientData/>
  </xdr:twoCellAnchor>
  <xdr:twoCellAnchor>
    <xdr:from>
      <xdr:col>29</xdr:col>
      <xdr:colOff>67007</xdr:colOff>
      <xdr:row>46</xdr:row>
      <xdr:rowOff>133364</xdr:rowOff>
    </xdr:from>
    <xdr:to>
      <xdr:col>37</xdr:col>
      <xdr:colOff>586740</xdr:colOff>
      <xdr:row>52</xdr:row>
      <xdr:rowOff>216498</xdr:rowOff>
    </xdr:to>
    <xdr:sp macro="" textlink="">
      <xdr:nvSpPr>
        <xdr:cNvPr id="32" name="正方形/長方形 31">
          <a:extLst>
            <a:ext uri="{FF2B5EF4-FFF2-40B4-BE49-F238E27FC236}">
              <a16:creationId xmlns:a16="http://schemas.microsoft.com/office/drawing/2014/main" id="{00000000-0008-0000-0000-000020000000}"/>
            </a:ext>
          </a:extLst>
        </xdr:cNvPr>
        <xdr:cNvSpPr/>
      </xdr:nvSpPr>
      <xdr:spPr>
        <a:xfrm>
          <a:off x="8594683" y="11473717"/>
          <a:ext cx="6223528" cy="1607134"/>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法人</a:t>
          </a:r>
          <a: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・コード・パスワード</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OK</a:t>
          </a:r>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例） </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abcd1234</a:t>
          </a:r>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abcd-1234</a:t>
          </a:r>
        </a:p>
        <a:p>
          <a:pPr algn="l"/>
          <a:r>
            <a:rPr kumimoji="1" lang="en-US" altLang="ja-JP" sz="900" b="1" baseline="0">
              <a:solidFill>
                <a:srgbClr val="002060"/>
              </a:solidFill>
              <a:latin typeface="Meiryo UI" panose="020B0604030504040204" pitchFamily="50" charset="-128"/>
              <a:ea typeface="Meiryo UI" panose="020B0604030504040204" pitchFamily="50" charset="-128"/>
              <a:cs typeface="Meiryo UI" panose="020B0604030504040204" pitchFamily="50" charset="-128"/>
            </a:rPr>
            <a:t>               abcd.1234</a:t>
          </a:r>
        </a:p>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NG</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例）</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01234567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数字のみ</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abcd@1234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あり</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Abcd1234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大文字あり</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588434</xdr:colOff>
      <xdr:row>18</xdr:row>
      <xdr:rowOff>226484</xdr:rowOff>
    </xdr:from>
    <xdr:to>
      <xdr:col>38</xdr:col>
      <xdr:colOff>352425</xdr:colOff>
      <xdr:row>22</xdr:row>
      <xdr:rowOff>124434</xdr:rowOff>
    </xdr:to>
    <xdr:sp macro="" textlink="">
      <xdr:nvSpPr>
        <xdr:cNvPr id="36" name="正方形/長方形 35">
          <a:extLst>
            <a:ext uri="{FF2B5EF4-FFF2-40B4-BE49-F238E27FC236}">
              <a16:creationId xmlns:a16="http://schemas.microsoft.com/office/drawing/2014/main" id="{00000000-0008-0000-0000-000024000000}"/>
            </a:ext>
          </a:extLst>
        </xdr:cNvPr>
        <xdr:cNvSpPr/>
      </xdr:nvSpPr>
      <xdr:spPr>
        <a:xfrm>
          <a:off x="8432064" y="4848180"/>
          <a:ext cx="6779361" cy="924993"/>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■社印について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・角印でＯＫです。</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・明瞭にご捺印ください。</a:t>
          </a:r>
        </a:p>
      </xdr:txBody>
    </xdr:sp>
    <xdr:clientData/>
  </xdr:twoCellAnchor>
  <xdr:twoCellAnchor>
    <xdr:from>
      <xdr:col>29</xdr:col>
      <xdr:colOff>106361</xdr:colOff>
      <xdr:row>60</xdr:row>
      <xdr:rowOff>28854</xdr:rowOff>
    </xdr:from>
    <xdr:to>
      <xdr:col>37</xdr:col>
      <xdr:colOff>590549</xdr:colOff>
      <xdr:row>62</xdr:row>
      <xdr:rowOff>76199</xdr:rowOff>
    </xdr:to>
    <xdr:sp macro="" textlink="">
      <xdr:nvSpPr>
        <xdr:cNvPr id="35" name="正方形/長方形 34">
          <a:extLst>
            <a:ext uri="{FF2B5EF4-FFF2-40B4-BE49-F238E27FC236}">
              <a16:creationId xmlns:a16="http://schemas.microsoft.com/office/drawing/2014/main" id="{00000000-0008-0000-0000-000023000000}"/>
            </a:ext>
            <a:ext uri="{147F2762-F138-4A5C-976F-8EAC2B608ADB}">
              <a16:predDERef xmlns:a16="http://schemas.microsoft.com/office/drawing/2014/main" pred="{00000000-0008-0000-0000-000024000000}"/>
            </a:ext>
          </a:extLst>
        </xdr:cNvPr>
        <xdr:cNvSpPr/>
      </xdr:nvSpPr>
      <xdr:spPr>
        <a:xfrm>
          <a:off x="8621711" y="15478404"/>
          <a:ext cx="6246813" cy="561695"/>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■部署名について　</a:t>
          </a:r>
          <a:b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特になければ、部署名は「なし」とご記入ください。</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608012</xdr:colOff>
      <xdr:row>12</xdr:row>
      <xdr:rowOff>38099</xdr:rowOff>
    </xdr:from>
    <xdr:to>
      <xdr:col>38</xdr:col>
      <xdr:colOff>350838</xdr:colOff>
      <xdr:row>18</xdr:row>
      <xdr:rowOff>60324</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8552983" y="3130923"/>
          <a:ext cx="6780120" cy="1568636"/>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（会社請求）、</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TypeB</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（個人精算）の同時申込をご検討の法人様へ</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の同時申込は、運用・管理が複雑の為、推奨しておりません。以下の注意事項を必ずご確認くださいませ。</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それぞれで管理画面も必要になるため、二重管理になる可能性がございます。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）同一ユーザーが</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どちらもご利用される場合、各アカウントごとに社員登録が必要となります。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）ログインの際に必要な楽天</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で重複利用はできかねます。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131487</xdr:colOff>
      <xdr:row>0</xdr:row>
      <xdr:rowOff>0</xdr:rowOff>
    </xdr:from>
    <xdr:to>
      <xdr:col>24</xdr:col>
      <xdr:colOff>218523</xdr:colOff>
      <xdr:row>1</xdr:row>
      <xdr:rowOff>19050</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457660" y="0"/>
          <a:ext cx="5377075" cy="275492"/>
        </a:xfrm>
        <a:prstGeom prst="rect">
          <a:avLst/>
        </a:prstGeom>
        <a:solidFill>
          <a:srgbClr val="FF0000"/>
        </a:solidFill>
        <a:ln w="63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お申込書につきましては、手書きはお控えいただき、可能な限り、</a:t>
          </a:r>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Excel</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入力→印刷→ご捺印の上、</a:t>
          </a:r>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でご提出ください。</a:t>
          </a:r>
        </a:p>
      </xdr:txBody>
    </xdr:sp>
    <xdr:clientData/>
  </xdr:twoCellAnchor>
  <xdr:twoCellAnchor>
    <xdr:from>
      <xdr:col>28</xdr:col>
      <xdr:colOff>608011</xdr:colOff>
      <xdr:row>4</xdr:row>
      <xdr:rowOff>111368</xdr:rowOff>
    </xdr:from>
    <xdr:to>
      <xdr:col>38</xdr:col>
      <xdr:colOff>330200</xdr:colOff>
      <xdr:row>11</xdr:row>
      <xdr:rowOff>111369</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8565049" y="1137137"/>
          <a:ext cx="6821978" cy="1795097"/>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■導入後の</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切り替え、国内航空券の申込をご検討の法人様へ</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の切替</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、及び、</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国内航空券の途中追加／解約</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はいかなる理由があっても、システム上</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できかねますのでご注意ください。ご請求スケジュールや利用可能サービス等、必ずご確認ください。</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アカウント開設後に航空券オプションは途中追加・解約はで来ませんので、お付けしない場合でもご同意のうえチェックをお願いします。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）国内航空券は、</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法人</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アカウントのため、すでにご契約済みの場合、</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でお申し込みいただく場合には、</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既存のアカウントをご解約いただく必要がございます。解約される場合は、解約月を弊社担当営業までお知らせください。</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87760</xdr:colOff>
      <xdr:row>53</xdr:row>
      <xdr:rowOff>255588</xdr:rowOff>
    </xdr:from>
    <xdr:to>
      <xdr:col>37</xdr:col>
      <xdr:colOff>581024</xdr:colOff>
      <xdr:row>56</xdr:row>
      <xdr:rowOff>173745</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8603110" y="13904913"/>
          <a:ext cx="6255889" cy="689682"/>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■楽天ポイントの付与について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・楽天ポイントは、</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ログイン時（予約時）に使用した楽天</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に対し付与されます。</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・「付与する」を推奨しておりますが、「付与しない」を選択した場合、権利放棄となります。</a:t>
          </a:r>
        </a:p>
      </xdr:txBody>
    </xdr:sp>
    <xdr:clientData/>
  </xdr:twoCellAnchor>
  <xdr:oneCellAnchor>
    <xdr:from>
      <xdr:col>29</xdr:col>
      <xdr:colOff>87312</xdr:colOff>
      <xdr:row>57</xdr:row>
      <xdr:rowOff>0</xdr:rowOff>
    </xdr:from>
    <xdr:ext cx="6240463" cy="473463"/>
    <xdr:sp macro="" textlink="">
      <xdr:nvSpPr>
        <xdr:cNvPr id="9" name="正方形/長方形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SpPr/>
      </xdr:nvSpPr>
      <xdr:spPr>
        <a:xfrm>
          <a:off x="8667139" y="14639192"/>
          <a:ext cx="6240463" cy="473463"/>
        </a:xfrm>
        <a:prstGeom prst="rect">
          <a:avLst/>
        </a:prstGeom>
        <a:solidFill>
          <a:schemeClr val="accent3">
            <a:lumMod val="20000"/>
            <a:lumOff val="8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nchorCtr="0">
          <a:noAutofit/>
        </a:bodyPr>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■ご請求スケジュールについて（</a:t>
          </a:r>
          <a:r>
            <a:rPr kumimoji="1" lang="en-US"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TypeA</a:t>
          </a:r>
          <a:r>
            <a:rPr kumimoji="1" lang="ja-JP"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にお申し込みの場合</a:t>
          </a:r>
          <a:r>
            <a:rPr kumimoji="1" lang="ja-JP" altLang="en-US"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のみ）</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・国内航空券のお申込みの有無によって、請求データ確定日や</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発行可能日が異なりますので、必ずご確認くださいませ。</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29</xdr:col>
      <xdr:colOff>58752</xdr:colOff>
      <xdr:row>38</xdr:row>
      <xdr:rowOff>193909</xdr:rowOff>
    </xdr:from>
    <xdr:to>
      <xdr:col>37</xdr:col>
      <xdr:colOff>581604</xdr:colOff>
      <xdr:row>45</xdr:row>
      <xdr:rowOff>220579</xdr:rowOff>
    </xdr:to>
    <xdr:sp macro="" textlink="">
      <xdr:nvSpPr>
        <xdr:cNvPr id="10" name="正方形/長方形 9">
          <a:extLst>
            <a:ext uri="{FF2B5EF4-FFF2-40B4-BE49-F238E27FC236}">
              <a16:creationId xmlns:a16="http://schemas.microsoft.com/office/drawing/2014/main" id="{00000000-0008-0000-0000-00000A000000}"/>
            </a:ext>
          </a:extLst>
        </xdr:cNvPr>
        <xdr:cNvSpPr/>
      </xdr:nvSpPr>
      <xdr:spPr>
        <a:xfrm>
          <a:off x="8515295" y="9950822"/>
          <a:ext cx="6312396" cy="1823996"/>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■最大利用額について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でご利用いただく国内ホテル・国内航空券・海外航空券・国内レンタカーの合計金額のみご記入ください。</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の審査結果で、上限金額を設けてご利用をお願いすることになった場合に、</a:t>
          </a:r>
          <a:endPar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　こちらに記載の最大利用額を参考にさせていただきます。</a:t>
          </a:r>
          <a:endPar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仮に上限金額を設けさせていただいた場合、上限金額を超えてしまいますと、</a:t>
          </a:r>
          <a:b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一時的に</a:t>
          </a:r>
          <a:r>
            <a:rPr kumimoji="1" lang="en-US" altLang="ja-JP"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のご利用を停止させて頂く場合がございます。</a:t>
          </a:r>
        </a:p>
      </xdr:txBody>
    </xdr:sp>
    <xdr:clientData/>
  </xdr:twoCellAnchor>
  <mc:AlternateContent xmlns:mc="http://schemas.openxmlformats.org/markup-compatibility/2006">
    <mc:Choice xmlns:a14="http://schemas.microsoft.com/office/drawing/2010/main" Requires="a14">
      <xdr:twoCellAnchor editAs="oneCell">
        <xdr:from>
          <xdr:col>17</xdr:col>
          <xdr:colOff>63500</xdr:colOff>
          <xdr:row>25</xdr:row>
          <xdr:rowOff>266700</xdr:rowOff>
        </xdr:from>
        <xdr:to>
          <xdr:col>18</xdr:col>
          <xdr:colOff>6350</xdr:colOff>
          <xdr:row>26</xdr:row>
          <xdr:rowOff>254000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0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xdr:row>
          <xdr:rowOff>215900</xdr:rowOff>
        </xdr:from>
        <xdr:to>
          <xdr:col>2</xdr:col>
          <xdr:colOff>38100</xdr:colOff>
          <xdr:row>8</xdr:row>
          <xdr:rowOff>228600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0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xdr:row>
          <xdr:rowOff>215900</xdr:rowOff>
        </xdr:from>
        <xdr:to>
          <xdr:col>3</xdr:col>
          <xdr:colOff>101600</xdr:colOff>
          <xdr:row>9</xdr:row>
          <xdr:rowOff>215900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0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76200</xdr:colOff>
          <xdr:row>65</xdr:row>
          <xdr:rowOff>25400</xdr:rowOff>
        </xdr:from>
        <xdr:to>
          <xdr:col>25</xdr:col>
          <xdr:colOff>101600</xdr:colOff>
          <xdr:row>66</xdr:row>
          <xdr:rowOff>6350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0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29</xdr:col>
      <xdr:colOff>87311</xdr:colOff>
      <xdr:row>64</xdr:row>
      <xdr:rowOff>68992</xdr:rowOff>
    </xdr:from>
    <xdr:to>
      <xdr:col>38</xdr:col>
      <xdr:colOff>19049</xdr:colOff>
      <xdr:row>66</xdr:row>
      <xdr:rowOff>0</xdr:rowOff>
    </xdr:to>
    <xdr:sp macro="" textlink="">
      <xdr:nvSpPr>
        <xdr:cNvPr id="8" name="正方形/長方形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7000000}"/>
            </a:ext>
          </a:extLst>
        </xdr:cNvPr>
        <xdr:cNvSpPr/>
      </xdr:nvSpPr>
      <xdr:spPr>
        <a:xfrm>
          <a:off x="8602661" y="16547242"/>
          <a:ext cx="6303963" cy="445358"/>
        </a:xfrm>
        <a:prstGeom prst="rect">
          <a:avLst/>
        </a:prstGeom>
        <a:solidFill>
          <a:schemeClr val="accent3">
            <a:lumMod val="20000"/>
            <a:lumOff val="8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■ご請求スケジュールについて（</a:t>
          </a:r>
          <a:r>
            <a:rPr kumimoji="1" lang="en-US"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TypeA</a:t>
          </a:r>
          <a:r>
            <a:rPr kumimoji="1" lang="ja-JP"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にお申し込みの場合</a:t>
          </a:r>
          <a:r>
            <a:rPr kumimoji="1" lang="ja-JP" altLang="en-US"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のみ）</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・国内航空券のお申込みの有無によって、請求データ確定日や</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発行可能日が異なりますので、必ずご確認くださいませ。</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596717</xdr:colOff>
      <xdr:row>23</xdr:row>
      <xdr:rowOff>127093</xdr:rowOff>
    </xdr:from>
    <xdr:to>
      <xdr:col>38</xdr:col>
      <xdr:colOff>357533</xdr:colOff>
      <xdr:row>27</xdr:row>
      <xdr:rowOff>21868</xdr:rowOff>
    </xdr:to>
    <xdr:sp macro="" textlink="">
      <xdr:nvSpPr>
        <xdr:cNvPr id="6" name="正方形/長方形 5">
          <a:extLst>
            <a:ext uri="{FF2B5EF4-FFF2-40B4-BE49-F238E27FC236}">
              <a16:creationId xmlns:a16="http://schemas.microsoft.com/office/drawing/2014/main" id="{BAC18438-E46C-F898-2734-521AF615ECDE}"/>
            </a:ext>
          </a:extLst>
        </xdr:cNvPr>
        <xdr:cNvSpPr/>
      </xdr:nvSpPr>
      <xdr:spPr>
        <a:xfrm>
          <a:off x="8440347" y="6032593"/>
          <a:ext cx="6776186" cy="921818"/>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■年商について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・非公開の場合は非公開とご記入ください。</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5</xdr:row>
          <xdr:rowOff>12700</xdr:rowOff>
        </xdr:from>
        <xdr:to>
          <xdr:col>1</xdr:col>
          <xdr:colOff>38100</xdr:colOff>
          <xdr:row>6</xdr:row>
          <xdr:rowOff>38100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xdr:row>
          <xdr:rowOff>0</xdr:rowOff>
        </xdr:from>
        <xdr:to>
          <xdr:col>1</xdr:col>
          <xdr:colOff>38100</xdr:colOff>
          <xdr:row>17</xdr:row>
          <xdr:rowOff>12700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1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24</xdr:row>
          <xdr:rowOff>12700</xdr:rowOff>
        </xdr:from>
        <xdr:to>
          <xdr:col>21</xdr:col>
          <xdr:colOff>0</xdr:colOff>
          <xdr:row>25</xdr:row>
          <xdr:rowOff>12700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1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25400</xdr:colOff>
          <xdr:row>24</xdr:row>
          <xdr:rowOff>12700</xdr:rowOff>
        </xdr:from>
        <xdr:to>
          <xdr:col>25</xdr:col>
          <xdr:colOff>0</xdr:colOff>
          <xdr:row>25</xdr:row>
          <xdr:rowOff>12700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1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16</xdr:row>
          <xdr:rowOff>0</xdr:rowOff>
        </xdr:from>
        <xdr:to>
          <xdr:col>6</xdr:col>
          <xdr:colOff>0</xdr:colOff>
          <xdr:row>17</xdr:row>
          <xdr:rowOff>12700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1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16</xdr:row>
          <xdr:rowOff>0</xdr:rowOff>
        </xdr:from>
        <xdr:to>
          <xdr:col>13</xdr:col>
          <xdr:colOff>0</xdr:colOff>
          <xdr:row>17</xdr:row>
          <xdr:rowOff>12700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1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69850</xdr:colOff>
          <xdr:row>52</xdr:row>
          <xdr:rowOff>12700</xdr:rowOff>
        </xdr:from>
        <xdr:to>
          <xdr:col>15</xdr:col>
          <xdr:colOff>76200</xdr:colOff>
          <xdr:row>53</xdr:row>
          <xdr:rowOff>38100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1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69850</xdr:colOff>
          <xdr:row>52</xdr:row>
          <xdr:rowOff>12700</xdr:rowOff>
        </xdr:from>
        <xdr:to>
          <xdr:col>22</xdr:col>
          <xdr:colOff>76200</xdr:colOff>
          <xdr:row>53</xdr:row>
          <xdr:rowOff>38100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1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76200</xdr:colOff>
          <xdr:row>57</xdr:row>
          <xdr:rowOff>25400</xdr:rowOff>
        </xdr:from>
        <xdr:to>
          <xdr:col>25</xdr:col>
          <xdr:colOff>107950</xdr:colOff>
          <xdr:row>58</xdr:row>
          <xdr:rowOff>12700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1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5</xdr:row>
          <xdr:rowOff>0</xdr:rowOff>
        </xdr:from>
        <xdr:to>
          <xdr:col>15</xdr:col>
          <xdr:colOff>0</xdr:colOff>
          <xdr:row>6</xdr:row>
          <xdr:rowOff>12700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1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xdr:row>
          <xdr:rowOff>12700</xdr:rowOff>
        </xdr:from>
        <xdr:to>
          <xdr:col>2</xdr:col>
          <xdr:colOff>38100</xdr:colOff>
          <xdr:row>8</xdr:row>
          <xdr:rowOff>12700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1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xdr:row>
          <xdr:rowOff>0</xdr:rowOff>
        </xdr:from>
        <xdr:to>
          <xdr:col>2</xdr:col>
          <xdr:colOff>38100</xdr:colOff>
          <xdr:row>11</xdr:row>
          <xdr:rowOff>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1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xdr:row>
          <xdr:rowOff>215900</xdr:rowOff>
        </xdr:from>
        <xdr:to>
          <xdr:col>2</xdr:col>
          <xdr:colOff>38100</xdr:colOff>
          <xdr:row>11</xdr:row>
          <xdr:rowOff>228600</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100-00000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54</xdr:row>
          <xdr:rowOff>38100</xdr:rowOff>
        </xdr:from>
        <xdr:to>
          <xdr:col>5</xdr:col>
          <xdr:colOff>69850</xdr:colOff>
          <xdr:row>55</xdr:row>
          <xdr:rowOff>31750</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100-00000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xdr:colOff>
          <xdr:row>54</xdr:row>
          <xdr:rowOff>38100</xdr:rowOff>
        </xdr:from>
        <xdr:to>
          <xdr:col>9</xdr:col>
          <xdr:colOff>69850</xdr:colOff>
          <xdr:row>55</xdr:row>
          <xdr:rowOff>31750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1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63500</xdr:colOff>
          <xdr:row>54</xdr:row>
          <xdr:rowOff>31750</xdr:rowOff>
        </xdr:from>
        <xdr:to>
          <xdr:col>17</xdr:col>
          <xdr:colOff>69850</xdr:colOff>
          <xdr:row>55</xdr:row>
          <xdr:rowOff>31750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1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69850</xdr:colOff>
          <xdr:row>54</xdr:row>
          <xdr:rowOff>38100</xdr:rowOff>
        </xdr:from>
        <xdr:to>
          <xdr:col>22</xdr:col>
          <xdr:colOff>76200</xdr:colOff>
          <xdr:row>55</xdr:row>
          <xdr:rowOff>31750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1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63500</xdr:colOff>
          <xdr:row>55</xdr:row>
          <xdr:rowOff>31750</xdr:rowOff>
        </xdr:from>
        <xdr:to>
          <xdr:col>5</xdr:col>
          <xdr:colOff>69850</xdr:colOff>
          <xdr:row>56</xdr:row>
          <xdr:rowOff>38100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1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55</xdr:row>
          <xdr:rowOff>31750</xdr:rowOff>
        </xdr:from>
        <xdr:to>
          <xdr:col>8</xdr:col>
          <xdr:colOff>88900</xdr:colOff>
          <xdr:row>56</xdr:row>
          <xdr:rowOff>38100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1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69850</xdr:colOff>
          <xdr:row>55</xdr:row>
          <xdr:rowOff>63500</xdr:rowOff>
        </xdr:from>
        <xdr:to>
          <xdr:col>11</xdr:col>
          <xdr:colOff>0</xdr:colOff>
          <xdr:row>56</xdr:row>
          <xdr:rowOff>12700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1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55</xdr:row>
          <xdr:rowOff>31750</xdr:rowOff>
        </xdr:from>
        <xdr:to>
          <xdr:col>14</xdr:col>
          <xdr:colOff>50800</xdr:colOff>
          <xdr:row>56</xdr:row>
          <xdr:rowOff>38100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1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69850</xdr:colOff>
          <xdr:row>55</xdr:row>
          <xdr:rowOff>38100</xdr:rowOff>
        </xdr:from>
        <xdr:to>
          <xdr:col>20</xdr:col>
          <xdr:colOff>12700</xdr:colOff>
          <xdr:row>56</xdr:row>
          <xdr:rowOff>12700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1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38100</xdr:colOff>
          <xdr:row>55</xdr:row>
          <xdr:rowOff>38100</xdr:rowOff>
        </xdr:from>
        <xdr:to>
          <xdr:col>23</xdr:col>
          <xdr:colOff>50800</xdr:colOff>
          <xdr:row>56</xdr:row>
          <xdr:rowOff>38100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1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55</xdr:row>
          <xdr:rowOff>38100</xdr:rowOff>
        </xdr:from>
        <xdr:to>
          <xdr:col>16</xdr:col>
          <xdr:colOff>260350</xdr:colOff>
          <xdr:row>56</xdr:row>
          <xdr:rowOff>12700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1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88900</xdr:colOff>
          <xdr:row>58</xdr:row>
          <xdr:rowOff>254000</xdr:rowOff>
        </xdr:from>
        <xdr:to>
          <xdr:col>25</xdr:col>
          <xdr:colOff>114300</xdr:colOff>
          <xdr:row>59</xdr:row>
          <xdr:rowOff>241300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100-00001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184150</xdr:rowOff>
        </xdr:from>
        <xdr:to>
          <xdr:col>1</xdr:col>
          <xdr:colOff>69850</xdr:colOff>
          <xdr:row>64</xdr:row>
          <xdr:rowOff>184150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100-00001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0</xdr:rowOff>
        </xdr:from>
        <xdr:to>
          <xdr:col>1</xdr:col>
          <xdr:colOff>69850</xdr:colOff>
          <xdr:row>64</xdr:row>
          <xdr:rowOff>12700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100-00001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38100</xdr:colOff>
          <xdr:row>55</xdr:row>
          <xdr:rowOff>38100</xdr:rowOff>
        </xdr:from>
        <xdr:to>
          <xdr:col>26</xdr:col>
          <xdr:colOff>50800</xdr:colOff>
          <xdr:row>56</xdr:row>
          <xdr:rowOff>38100</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1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23</xdr:col>
      <xdr:colOff>28612</xdr:colOff>
      <xdr:row>15</xdr:row>
      <xdr:rowOff>19155</xdr:rowOff>
    </xdr:from>
    <xdr:to>
      <xdr:col>26</xdr:col>
      <xdr:colOff>362476</xdr:colOff>
      <xdr:row>19</xdr:row>
      <xdr:rowOff>2559</xdr:rowOff>
    </xdr:to>
    <xdr:sp macro="" textlink="">
      <xdr:nvSpPr>
        <xdr:cNvPr id="2" name="角丸四角形 4">
          <a:extLst>
            <a:ext uri="{FF2B5EF4-FFF2-40B4-BE49-F238E27FC236}">
              <a16:creationId xmlns:a16="http://schemas.microsoft.com/office/drawing/2014/main" id="{B75E7FCD-1F10-4DDE-B323-A3DBBBC2042E}"/>
            </a:ext>
          </a:extLst>
        </xdr:cNvPr>
        <xdr:cNvSpPr/>
      </xdr:nvSpPr>
      <xdr:spPr>
        <a:xfrm>
          <a:off x="6321462" y="3876780"/>
          <a:ext cx="1146664" cy="1012104"/>
        </a:xfrm>
        <a:prstGeom prst="roundRect">
          <a:avLst>
            <a:gd name="adj" fmla="val 6971"/>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0"/>
        <a:lstStyle/>
        <a:p>
          <a:pPr algn="ctr"/>
          <a:r>
            <a:rPr kumimoji="1" lang="ja-JP" altLang="en-US" sz="2000">
              <a:solidFill>
                <a:schemeClr val="bg1">
                  <a:lumMod val="85000"/>
                </a:schemeClr>
              </a:solidFill>
            </a:rPr>
            <a:t>社印</a:t>
          </a:r>
          <a:endParaRPr kumimoji="1" lang="en-US" altLang="ja-JP" sz="2000">
            <a:solidFill>
              <a:schemeClr val="bg1">
                <a:lumMod val="85000"/>
              </a:schemeClr>
            </a:solidFill>
          </a:endParaRPr>
        </a:p>
      </xdr:txBody>
    </xdr:sp>
    <xdr:clientData/>
  </xdr:twoCellAnchor>
  <xdr:twoCellAnchor>
    <xdr:from>
      <xdr:col>29</xdr:col>
      <xdr:colOff>67007</xdr:colOff>
      <xdr:row>46</xdr:row>
      <xdr:rowOff>133364</xdr:rowOff>
    </xdr:from>
    <xdr:to>
      <xdr:col>37</xdr:col>
      <xdr:colOff>586740</xdr:colOff>
      <xdr:row>52</xdr:row>
      <xdr:rowOff>216498</xdr:rowOff>
    </xdr:to>
    <xdr:sp macro="" textlink="">
      <xdr:nvSpPr>
        <xdr:cNvPr id="3" name="正方形/長方形 2">
          <a:extLst>
            <a:ext uri="{FF2B5EF4-FFF2-40B4-BE49-F238E27FC236}">
              <a16:creationId xmlns:a16="http://schemas.microsoft.com/office/drawing/2014/main" id="{56816F24-D86F-49F9-BA3E-AAC8314880F9}"/>
            </a:ext>
          </a:extLst>
        </xdr:cNvPr>
        <xdr:cNvSpPr/>
      </xdr:nvSpPr>
      <xdr:spPr>
        <a:xfrm>
          <a:off x="8588707" y="11963414"/>
          <a:ext cx="6349033" cy="1648409"/>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法人</a:t>
          </a:r>
          <a: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・コード・パスワード</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OK</a:t>
          </a:r>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例） </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abcd1234</a:t>
          </a:r>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9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abcd-1234</a:t>
          </a:r>
        </a:p>
        <a:p>
          <a:pPr algn="l"/>
          <a:r>
            <a:rPr kumimoji="1" lang="en-US" altLang="ja-JP" sz="900" b="1" baseline="0">
              <a:solidFill>
                <a:srgbClr val="002060"/>
              </a:solidFill>
              <a:latin typeface="Meiryo UI" panose="020B0604030504040204" pitchFamily="50" charset="-128"/>
              <a:ea typeface="Meiryo UI" panose="020B0604030504040204" pitchFamily="50" charset="-128"/>
              <a:cs typeface="Meiryo UI" panose="020B0604030504040204" pitchFamily="50" charset="-128"/>
            </a:rPr>
            <a:t>               abcd.1234</a:t>
          </a:r>
        </a:p>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NG</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例）</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01234567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数字のみ</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abcd@1234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あり</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Abcd1234	※</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大文字あり</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588434</xdr:colOff>
      <xdr:row>18</xdr:row>
      <xdr:rowOff>226484</xdr:rowOff>
    </xdr:from>
    <xdr:to>
      <xdr:col>38</xdr:col>
      <xdr:colOff>352425</xdr:colOff>
      <xdr:row>22</xdr:row>
      <xdr:rowOff>124434</xdr:rowOff>
    </xdr:to>
    <xdr:sp macro="" textlink="">
      <xdr:nvSpPr>
        <xdr:cNvPr id="4" name="正方形/長方形 3">
          <a:extLst>
            <a:ext uri="{FF2B5EF4-FFF2-40B4-BE49-F238E27FC236}">
              <a16:creationId xmlns:a16="http://schemas.microsoft.com/office/drawing/2014/main" id="{58557F8F-D353-4442-A067-A61047B9D82A}"/>
            </a:ext>
          </a:extLst>
        </xdr:cNvPr>
        <xdr:cNvSpPr/>
      </xdr:nvSpPr>
      <xdr:spPr>
        <a:xfrm>
          <a:off x="8494184" y="4855634"/>
          <a:ext cx="6828366" cy="923475"/>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■社印について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・角印でＯＫです。</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・明瞭にご捺印ください。</a:t>
          </a:r>
        </a:p>
      </xdr:txBody>
    </xdr:sp>
    <xdr:clientData/>
  </xdr:twoCellAnchor>
  <xdr:twoCellAnchor>
    <xdr:from>
      <xdr:col>29</xdr:col>
      <xdr:colOff>106361</xdr:colOff>
      <xdr:row>60</xdr:row>
      <xdr:rowOff>28854</xdr:rowOff>
    </xdr:from>
    <xdr:to>
      <xdr:col>37</xdr:col>
      <xdr:colOff>590549</xdr:colOff>
      <xdr:row>62</xdr:row>
      <xdr:rowOff>76199</xdr:rowOff>
    </xdr:to>
    <xdr:sp macro="" textlink="">
      <xdr:nvSpPr>
        <xdr:cNvPr id="5" name="正方形/長方形 4">
          <a:extLst>
            <a:ext uri="{FF2B5EF4-FFF2-40B4-BE49-F238E27FC236}">
              <a16:creationId xmlns:a16="http://schemas.microsoft.com/office/drawing/2014/main" id="{A843015C-8E6E-45C9-B372-B381A2B3FA87}"/>
            </a:ext>
            <a:ext uri="{147F2762-F138-4A5C-976F-8EAC2B608ADB}">
              <a16:predDERef xmlns:a16="http://schemas.microsoft.com/office/drawing/2014/main" pred="{00000000-0008-0000-0000-000024000000}"/>
            </a:ext>
          </a:extLst>
        </xdr:cNvPr>
        <xdr:cNvSpPr/>
      </xdr:nvSpPr>
      <xdr:spPr>
        <a:xfrm>
          <a:off x="8628061" y="15475229"/>
          <a:ext cx="6316663" cy="564870"/>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■部署名について　</a:t>
          </a:r>
          <a:br>
            <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特になければ、部署名は「なし」とご記入ください。</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608012</xdr:colOff>
      <xdr:row>12</xdr:row>
      <xdr:rowOff>38099</xdr:rowOff>
    </xdr:from>
    <xdr:to>
      <xdr:col>38</xdr:col>
      <xdr:colOff>354013</xdr:colOff>
      <xdr:row>18</xdr:row>
      <xdr:rowOff>60324</xdr:rowOff>
    </xdr:to>
    <xdr:sp macro="" textlink="">
      <xdr:nvSpPr>
        <xdr:cNvPr id="6" name="正方形/長方形 5">
          <a:extLst>
            <a:ext uri="{FF2B5EF4-FFF2-40B4-BE49-F238E27FC236}">
              <a16:creationId xmlns:a16="http://schemas.microsoft.com/office/drawing/2014/main" id="{A6FAEA9D-B36F-4610-8B6F-6018A5F168DC}"/>
            </a:ext>
          </a:extLst>
        </xdr:cNvPr>
        <xdr:cNvSpPr/>
      </xdr:nvSpPr>
      <xdr:spPr>
        <a:xfrm>
          <a:off x="8513762" y="3124199"/>
          <a:ext cx="6810376" cy="1565275"/>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（会社請求）、</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TypeB</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（個人精算）の同時申込をご検討の法人様へ</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の同時申込は、運用・管理が複雑の為、推奨しておりません。以下の注意事項を必ずご確認くださいませ。</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それぞれで管理画面も必要になるため、二重管理になる可能性がございます。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）同一ユーザーが</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どちらもご利用される場合、各アカウントごとに社員登録が必要となります。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）ログインの際に必要な楽天</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で重複利用はできかねます。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131487</xdr:colOff>
      <xdr:row>0</xdr:row>
      <xdr:rowOff>0</xdr:rowOff>
    </xdr:from>
    <xdr:to>
      <xdr:col>24</xdr:col>
      <xdr:colOff>215348</xdr:colOff>
      <xdr:row>1</xdr:row>
      <xdr:rowOff>19050</xdr:rowOff>
    </xdr:to>
    <xdr:sp macro="" textlink="">
      <xdr:nvSpPr>
        <xdr:cNvPr id="7" name="正方形/長方形 6">
          <a:extLst>
            <a:ext uri="{FF2B5EF4-FFF2-40B4-BE49-F238E27FC236}">
              <a16:creationId xmlns:a16="http://schemas.microsoft.com/office/drawing/2014/main" id="{4D514601-45D6-4AD3-9E0B-8FA140D5A578}"/>
            </a:ext>
          </a:extLst>
        </xdr:cNvPr>
        <xdr:cNvSpPr/>
      </xdr:nvSpPr>
      <xdr:spPr>
        <a:xfrm>
          <a:off x="1455462" y="0"/>
          <a:ext cx="5335311" cy="276225"/>
        </a:xfrm>
        <a:prstGeom prst="rect">
          <a:avLst/>
        </a:prstGeom>
        <a:solidFill>
          <a:srgbClr val="FF0000"/>
        </a:solidFill>
        <a:ln w="63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お申込書につきましては、手書きはお控えいただき、可能な限り、</a:t>
          </a:r>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Excel</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入力→印刷→ご捺印の上、</a:t>
          </a:r>
          <a:r>
            <a:rPr kumimoji="1" lang="en-US" altLang="ja-JP"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800" b="1">
              <a:solidFill>
                <a:schemeClr val="bg1"/>
              </a:solidFill>
              <a:latin typeface="Meiryo UI" panose="020B0604030504040204" pitchFamily="50" charset="-128"/>
              <a:ea typeface="Meiryo UI" panose="020B0604030504040204" pitchFamily="50" charset="-128"/>
              <a:cs typeface="Meiryo UI" panose="020B0604030504040204" pitchFamily="50" charset="-128"/>
            </a:rPr>
            <a:t>でご提出ください。</a:t>
          </a:r>
        </a:p>
      </xdr:txBody>
    </xdr:sp>
    <xdr:clientData/>
  </xdr:twoCellAnchor>
  <xdr:twoCellAnchor>
    <xdr:from>
      <xdr:col>28</xdr:col>
      <xdr:colOff>608011</xdr:colOff>
      <xdr:row>4</xdr:row>
      <xdr:rowOff>133348</xdr:rowOff>
    </xdr:from>
    <xdr:to>
      <xdr:col>38</xdr:col>
      <xdr:colOff>330200</xdr:colOff>
      <xdr:row>11</xdr:row>
      <xdr:rowOff>133349</xdr:rowOff>
    </xdr:to>
    <xdr:sp macro="" textlink="">
      <xdr:nvSpPr>
        <xdr:cNvPr id="8" name="正方形/長方形 7">
          <a:extLst>
            <a:ext uri="{FF2B5EF4-FFF2-40B4-BE49-F238E27FC236}">
              <a16:creationId xmlns:a16="http://schemas.microsoft.com/office/drawing/2014/main" id="{B2D0187A-CD29-4806-9B9F-9302798BF4F0}"/>
            </a:ext>
          </a:extLst>
        </xdr:cNvPr>
        <xdr:cNvSpPr/>
      </xdr:nvSpPr>
      <xdr:spPr>
        <a:xfrm>
          <a:off x="8513761" y="1162048"/>
          <a:ext cx="6792914" cy="1800226"/>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■導入後の</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切り替え、国内航空券の申込をご検討の法人様へ</a:t>
          </a:r>
          <a:endPar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の切替</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、及び、</a:t>
          </a:r>
          <a:r>
            <a:rPr kumimoji="1" lang="ja-JP" altLang="en-US" sz="9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国内航空券の途中追加／解約</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はいかなる理由があっても、システム上</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できかねますのでご注意ください。ご請求スケジュールや利用可能サービス等、必ずご確認ください。</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アカウント開設後に航空券オプションは途中追加・解約はで来ませんので、お付けしない場合でもご同意のうえチェックをお願いします。</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）国内航空券は、</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法人</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アカウントのため、すでにご契約済みの場合、</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でお申し込みいただく場合には、</a:t>
          </a:r>
          <a:endPar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既存のアカウントをご解約いただく必要がございます。解約される場合は、解約月を弊社担当営業までお知らせください。</a:t>
          </a:r>
          <a:r>
            <a:rPr kumimoji="1" lang="en-US" altLang="ja-JP" sz="90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ja-JP" altLang="en-US" sz="90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87760</xdr:colOff>
      <xdr:row>53</xdr:row>
      <xdr:rowOff>255588</xdr:rowOff>
    </xdr:from>
    <xdr:to>
      <xdr:col>37</xdr:col>
      <xdr:colOff>581024</xdr:colOff>
      <xdr:row>56</xdr:row>
      <xdr:rowOff>173745</xdr:rowOff>
    </xdr:to>
    <xdr:sp macro="" textlink="">
      <xdr:nvSpPr>
        <xdr:cNvPr id="9" name="正方形/長方形 8">
          <a:extLst>
            <a:ext uri="{FF2B5EF4-FFF2-40B4-BE49-F238E27FC236}">
              <a16:creationId xmlns:a16="http://schemas.microsoft.com/office/drawing/2014/main" id="{6C5A4680-C928-4C2B-9032-4EDD4F44F44D}"/>
            </a:ext>
          </a:extLst>
        </xdr:cNvPr>
        <xdr:cNvSpPr/>
      </xdr:nvSpPr>
      <xdr:spPr>
        <a:xfrm>
          <a:off x="8609460" y="13908088"/>
          <a:ext cx="6328914" cy="686507"/>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■楽天ポイントの付与について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・楽天ポイントは、</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ログイン時（予約時）に使用した楽天</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に対し付与されます。</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・「付与する」を推奨しておりますが、「付与しない」を選択した場合、権利放棄となります。</a:t>
          </a:r>
        </a:p>
      </xdr:txBody>
    </xdr:sp>
    <xdr:clientData/>
  </xdr:twoCellAnchor>
  <xdr:oneCellAnchor>
    <xdr:from>
      <xdr:col>29</xdr:col>
      <xdr:colOff>84137</xdr:colOff>
      <xdr:row>57</xdr:row>
      <xdr:rowOff>0</xdr:rowOff>
    </xdr:from>
    <xdr:ext cx="6240463" cy="473463"/>
    <xdr:sp macro="" textlink="">
      <xdr:nvSpPr>
        <xdr:cNvPr id="10" name="正方形/長方形 9">
          <a:extLst>
            <a:ext uri="{FF2B5EF4-FFF2-40B4-BE49-F238E27FC236}">
              <a16:creationId xmlns:a16="http://schemas.microsoft.com/office/drawing/2014/main" id="{A297BB1E-7E48-415F-8EE8-8F2EFDB7BE83}"/>
            </a:ext>
            <a:ext uri="{147F2762-F138-4A5C-976F-8EAC2B608ADB}">
              <a16:predDERef xmlns:a16="http://schemas.microsoft.com/office/drawing/2014/main" pred="{00000000-0008-0000-0000-000007000000}"/>
            </a:ext>
          </a:extLst>
        </xdr:cNvPr>
        <xdr:cNvSpPr/>
      </xdr:nvSpPr>
      <xdr:spPr>
        <a:xfrm>
          <a:off x="8612187" y="14678025"/>
          <a:ext cx="6240463" cy="473463"/>
        </a:xfrm>
        <a:prstGeom prst="rect">
          <a:avLst/>
        </a:prstGeom>
        <a:solidFill>
          <a:schemeClr val="accent3">
            <a:lumMod val="20000"/>
            <a:lumOff val="8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nchorCtr="0">
          <a:noAutofit/>
        </a:bodyPr>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■ご請求スケジュールについて（</a:t>
          </a:r>
          <a:r>
            <a:rPr kumimoji="1" lang="en-US"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TypeA</a:t>
          </a:r>
          <a:r>
            <a:rPr kumimoji="1" lang="ja-JP"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にお申し込みの場合</a:t>
          </a:r>
          <a:r>
            <a:rPr kumimoji="1" lang="ja-JP" altLang="en-US"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のみ）</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・国内航空券のお申込みの有無によって、請求データ確定日や</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発行可能日が異なりますので、必ずご確認くださいませ。</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29</xdr:col>
      <xdr:colOff>58752</xdr:colOff>
      <xdr:row>38</xdr:row>
      <xdr:rowOff>193909</xdr:rowOff>
    </xdr:from>
    <xdr:to>
      <xdr:col>37</xdr:col>
      <xdr:colOff>581604</xdr:colOff>
      <xdr:row>45</xdr:row>
      <xdr:rowOff>220579</xdr:rowOff>
    </xdr:to>
    <xdr:sp macro="" textlink="">
      <xdr:nvSpPr>
        <xdr:cNvPr id="11" name="正方形/長方形 10">
          <a:extLst>
            <a:ext uri="{FF2B5EF4-FFF2-40B4-BE49-F238E27FC236}">
              <a16:creationId xmlns:a16="http://schemas.microsoft.com/office/drawing/2014/main" id="{7BED6E92-04E0-4B51-A659-7C3F23882004}"/>
            </a:ext>
          </a:extLst>
        </xdr:cNvPr>
        <xdr:cNvSpPr/>
      </xdr:nvSpPr>
      <xdr:spPr>
        <a:xfrm>
          <a:off x="8583627" y="9969734"/>
          <a:ext cx="6348977" cy="1820545"/>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■最大利用額について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でご利用いただく国内ホテル・国内航空券・海外航空券・国内レンタカーの合計金額のみご記入ください。</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※TypeA</a:t>
          </a:r>
          <a:r>
            <a:rPr kumimoji="1" lang="ja-JP" altLang="en-US"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の審査結果で、上限金額を設けてご利用をお願いすることになった場合に、</a:t>
          </a:r>
          <a:endPar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b="0">
              <a:solidFill>
                <a:srgbClr val="FF0000"/>
              </a:solidFill>
              <a:latin typeface="Meiryo UI" panose="020B0604030504040204" pitchFamily="50" charset="-128"/>
              <a:ea typeface="Meiryo UI" panose="020B0604030504040204" pitchFamily="50" charset="-128"/>
              <a:cs typeface="Meiryo UI" panose="020B0604030504040204" pitchFamily="50" charset="-128"/>
            </a:rPr>
            <a:t>　こちらに記載の最大利用額を参考にさせていただきます。</a:t>
          </a:r>
          <a:endParaRPr kumimoji="1" lang="en-US" altLang="ja-JP" sz="9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仮に上限金額を設けさせていただいた場合、上限金額を超えてしまいますと、</a:t>
          </a:r>
          <a:b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b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一時的に</a:t>
          </a:r>
          <a:r>
            <a:rPr kumimoji="1" lang="en-US" altLang="ja-JP"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Racco</a:t>
          </a:r>
          <a:r>
            <a:rPr kumimoji="1" lang="ja-JP" altLang="en-US" sz="900" b="0"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のご利用を停止させて頂く場合がございます。</a:t>
          </a:r>
        </a:p>
      </xdr:txBody>
    </xdr:sp>
    <xdr:clientData/>
  </xdr:twoCellAnchor>
  <mc:AlternateContent xmlns:mc="http://schemas.openxmlformats.org/markup-compatibility/2006">
    <mc:Choice xmlns:a14="http://schemas.microsoft.com/office/drawing/2010/main" Requires="a14">
      <xdr:twoCellAnchor editAs="oneCell">
        <xdr:from>
          <xdr:col>17</xdr:col>
          <xdr:colOff>63500</xdr:colOff>
          <xdr:row>25</xdr:row>
          <xdr:rowOff>266700</xdr:rowOff>
        </xdr:from>
        <xdr:to>
          <xdr:col>18</xdr:col>
          <xdr:colOff>12700</xdr:colOff>
          <xdr:row>27</xdr:row>
          <xdr:rowOff>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1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xdr:row>
          <xdr:rowOff>215900</xdr:rowOff>
        </xdr:from>
        <xdr:to>
          <xdr:col>2</xdr:col>
          <xdr:colOff>38100</xdr:colOff>
          <xdr:row>8</xdr:row>
          <xdr:rowOff>228600</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100-00001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8</xdr:row>
          <xdr:rowOff>215900</xdr:rowOff>
        </xdr:from>
        <xdr:to>
          <xdr:col>3</xdr:col>
          <xdr:colOff>107950</xdr:colOff>
          <xdr:row>9</xdr:row>
          <xdr:rowOff>222250</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100-00001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76200</xdr:colOff>
          <xdr:row>65</xdr:row>
          <xdr:rowOff>25400</xdr:rowOff>
        </xdr:from>
        <xdr:to>
          <xdr:col>25</xdr:col>
          <xdr:colOff>107950</xdr:colOff>
          <xdr:row>66</xdr:row>
          <xdr:rowOff>12700</xdr:rowOff>
        </xdr:to>
        <xdr:sp macro="" textlink="">
          <xdr:nvSpPr>
            <xdr:cNvPr id="6176" name="Check Box 32" hidden="1">
              <a:extLst>
                <a:ext uri="{63B3BB69-23CF-44E3-9099-C40C66FF867C}">
                  <a14:compatExt spid="_x0000_s6176"/>
                </a:ext>
                <a:ext uri="{FF2B5EF4-FFF2-40B4-BE49-F238E27FC236}">
                  <a16:creationId xmlns:a16="http://schemas.microsoft.com/office/drawing/2014/main" id="{00000000-0008-0000-0100-00002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29</xdr:col>
      <xdr:colOff>87311</xdr:colOff>
      <xdr:row>64</xdr:row>
      <xdr:rowOff>68992</xdr:rowOff>
    </xdr:from>
    <xdr:to>
      <xdr:col>38</xdr:col>
      <xdr:colOff>19049</xdr:colOff>
      <xdr:row>66</xdr:row>
      <xdr:rowOff>0</xdr:rowOff>
    </xdr:to>
    <xdr:sp macro="" textlink="">
      <xdr:nvSpPr>
        <xdr:cNvPr id="12" name="正方形/長方形 11">
          <a:extLst>
            <a:ext uri="{FF2B5EF4-FFF2-40B4-BE49-F238E27FC236}">
              <a16:creationId xmlns:a16="http://schemas.microsoft.com/office/drawing/2014/main" id="{E1B861BF-EDA2-4FDC-9791-3E6EDEEF957F}"/>
            </a:ext>
            <a:ext uri="{147F2762-F138-4A5C-976F-8EAC2B608ADB}">
              <a16:predDERef xmlns:a16="http://schemas.microsoft.com/office/drawing/2014/main" pred="{00000000-0008-0000-0000-000007000000}"/>
            </a:ext>
          </a:extLst>
        </xdr:cNvPr>
        <xdr:cNvSpPr/>
      </xdr:nvSpPr>
      <xdr:spPr>
        <a:xfrm>
          <a:off x="8609011" y="16544067"/>
          <a:ext cx="6383338" cy="448533"/>
        </a:xfrm>
        <a:prstGeom prst="rect">
          <a:avLst/>
        </a:prstGeom>
        <a:solidFill>
          <a:schemeClr val="accent3">
            <a:lumMod val="20000"/>
            <a:lumOff val="8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■ご請求スケジュールについて（</a:t>
          </a:r>
          <a:r>
            <a:rPr kumimoji="1" lang="en-US"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TypeA</a:t>
          </a:r>
          <a:r>
            <a:rPr kumimoji="1" lang="ja-JP" altLang="ja-JP"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にお申し込みの場合</a:t>
          </a:r>
          <a:r>
            <a:rPr kumimoji="1" lang="ja-JP" altLang="en-US" sz="90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のみ）</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・国内航空券のお申込みの有無によって、請求データ確定日や</a:t>
          </a:r>
          <a:r>
            <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rPr>
            <a:t>PDF</a:t>
          </a:r>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発行可能日が異なりますので、必ずご確認くださいませ。</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596717</xdr:colOff>
      <xdr:row>23</xdr:row>
      <xdr:rowOff>127093</xdr:rowOff>
    </xdr:from>
    <xdr:to>
      <xdr:col>38</xdr:col>
      <xdr:colOff>357533</xdr:colOff>
      <xdr:row>27</xdr:row>
      <xdr:rowOff>21868</xdr:rowOff>
    </xdr:to>
    <xdr:sp macro="" textlink="">
      <xdr:nvSpPr>
        <xdr:cNvPr id="13" name="正方形/長方形 12">
          <a:extLst>
            <a:ext uri="{FF2B5EF4-FFF2-40B4-BE49-F238E27FC236}">
              <a16:creationId xmlns:a16="http://schemas.microsoft.com/office/drawing/2014/main" id="{6463043A-4BA9-4168-A78B-465395EB1AF8}"/>
            </a:ext>
          </a:extLst>
        </xdr:cNvPr>
        <xdr:cNvSpPr/>
      </xdr:nvSpPr>
      <xdr:spPr>
        <a:xfrm>
          <a:off x="8505642" y="6038943"/>
          <a:ext cx="6822016" cy="926650"/>
        </a:xfrm>
        <a:prstGeom prst="rect">
          <a:avLst/>
        </a:prstGeom>
        <a:solidFill>
          <a:schemeClr val="accent6">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900" b="1">
              <a:solidFill>
                <a:schemeClr val="tx1"/>
              </a:solidFill>
              <a:latin typeface="Meiryo UI" panose="020B0604030504040204" pitchFamily="50" charset="-128"/>
              <a:ea typeface="Meiryo UI" panose="020B0604030504040204" pitchFamily="50" charset="-128"/>
              <a:cs typeface="Meiryo UI" panose="020B0604030504040204" pitchFamily="50" charset="-128"/>
            </a:rPr>
            <a:t>■年商について</a:t>
          </a:r>
          <a:endParaRPr kumimoji="1" lang="en-US" altLang="ja-JP" sz="9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solidFill>
                <a:schemeClr val="tx1"/>
              </a:solidFill>
              <a:latin typeface="Meiryo UI" panose="020B0604030504040204" pitchFamily="50" charset="-128"/>
              <a:ea typeface="Meiryo UI" panose="020B0604030504040204" pitchFamily="50" charset="-128"/>
              <a:cs typeface="Meiryo UI" panose="020B0604030504040204" pitchFamily="50" charset="-128"/>
            </a:rPr>
            <a:t>・非公開の場合は非公開とご記入ください。</a:t>
          </a:r>
          <a:endParaRPr kumimoji="1" lang="en-US" altLang="ja-JP" sz="90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132522</xdr:colOff>
      <xdr:row>15</xdr:row>
      <xdr:rowOff>82826</xdr:rowOff>
    </xdr:from>
    <xdr:to>
      <xdr:col>26</xdr:col>
      <xdr:colOff>294999</xdr:colOff>
      <xdr:row>18</xdr:row>
      <xdr:rowOff>177109</xdr:rowOff>
    </xdr:to>
    <xdr:sp macro="" textlink="">
      <xdr:nvSpPr>
        <xdr:cNvPr id="14" name="角丸四角形 14">
          <a:extLst>
            <a:ext uri="{FF2B5EF4-FFF2-40B4-BE49-F238E27FC236}">
              <a16:creationId xmlns:a16="http://schemas.microsoft.com/office/drawing/2014/main" id="{F4F7D7D2-C206-4F8B-B55D-049F509863A9}"/>
            </a:ext>
          </a:extLst>
        </xdr:cNvPr>
        <xdr:cNvSpPr/>
      </xdr:nvSpPr>
      <xdr:spPr>
        <a:xfrm>
          <a:off x="6369326" y="3934239"/>
          <a:ext cx="965890" cy="864566"/>
        </a:xfrm>
        <a:prstGeom prst="roundRect">
          <a:avLst>
            <a:gd name="adj" fmla="val 6971"/>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nchorCtr="0"/>
        <a:lstStyle/>
        <a:p>
          <a:pPr algn="ctr"/>
          <a:r>
            <a:rPr kumimoji="1" lang="ja-JP" altLang="en-US" sz="1100" b="1">
              <a:solidFill>
                <a:srgbClr val="FF0000"/>
              </a:solidFill>
            </a:rPr>
            <a:t>楽天</a:t>
          </a:r>
          <a:br>
            <a:rPr kumimoji="1" lang="en-US" altLang="ja-JP" sz="1100" b="1">
              <a:solidFill>
                <a:srgbClr val="FF0000"/>
              </a:solidFill>
            </a:rPr>
          </a:br>
          <a:r>
            <a:rPr kumimoji="1" lang="ja-JP" altLang="en-US" sz="1100" b="1">
              <a:solidFill>
                <a:srgbClr val="FF0000"/>
              </a:solidFill>
            </a:rPr>
            <a:t>グループ</a:t>
          </a:r>
          <a:br>
            <a:rPr kumimoji="1" lang="en-US" altLang="ja-JP" sz="1100" b="1">
              <a:solidFill>
                <a:srgbClr val="FF0000"/>
              </a:solidFill>
            </a:rPr>
          </a:br>
          <a:r>
            <a:rPr kumimoji="1" lang="ja-JP" altLang="en-US" sz="1100" b="1">
              <a:solidFill>
                <a:srgbClr val="FF0000"/>
              </a:solidFill>
            </a:rPr>
            <a:t>株式会社</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drawing" Target="../drawings/drawing1.xml"/><Relationship Id="rId18" Type="http://schemas.openxmlformats.org/officeDocument/2006/relationships/ctrlProp" Target="../ctrlProps/ctrlProp4.xml"/><Relationship Id="rId26" Type="http://schemas.openxmlformats.org/officeDocument/2006/relationships/ctrlProp" Target="../ctrlProps/ctrlProp12.xml"/><Relationship Id="rId39" Type="http://schemas.openxmlformats.org/officeDocument/2006/relationships/ctrlProp" Target="../ctrlProps/ctrlProp25.xml"/><Relationship Id="rId21" Type="http://schemas.openxmlformats.org/officeDocument/2006/relationships/ctrlProp" Target="../ctrlProps/ctrlProp7.xml"/><Relationship Id="rId34" Type="http://schemas.openxmlformats.org/officeDocument/2006/relationships/ctrlProp" Target="../ctrlProps/ctrlProp20.xml"/><Relationship Id="rId42" Type="http://schemas.openxmlformats.org/officeDocument/2006/relationships/ctrlProp" Target="../ctrlProps/ctrlProp28.xml"/><Relationship Id="rId7" Type="http://schemas.openxmlformats.org/officeDocument/2006/relationships/customProperty" Target="../customProperty3.bin"/><Relationship Id="rId2" Type="http://schemas.openxmlformats.org/officeDocument/2006/relationships/hyperlink" Target="https://travel.rakuten.co.jp/B2B/manual/Racco_kiyaku.pdf" TargetMode="External"/><Relationship Id="rId16" Type="http://schemas.openxmlformats.org/officeDocument/2006/relationships/ctrlProp" Target="../ctrlProps/ctrlProp2.xml"/><Relationship Id="rId29" Type="http://schemas.openxmlformats.org/officeDocument/2006/relationships/ctrlProp" Target="../ctrlProps/ctrlProp15.xml"/><Relationship Id="rId1" Type="http://schemas.openxmlformats.org/officeDocument/2006/relationships/hyperlink" Target="http://travel.rakuten.co.jp/info/agreement.html" TargetMode="External"/><Relationship Id="rId6" Type="http://schemas.openxmlformats.org/officeDocument/2006/relationships/customProperty" Target="../customProperty2.bin"/><Relationship Id="rId11" Type="http://schemas.openxmlformats.org/officeDocument/2006/relationships/customProperty" Target="../customProperty7.bin"/><Relationship Id="rId24" Type="http://schemas.openxmlformats.org/officeDocument/2006/relationships/ctrlProp" Target="../ctrlProps/ctrlProp10.xml"/><Relationship Id="rId32" Type="http://schemas.openxmlformats.org/officeDocument/2006/relationships/ctrlProp" Target="../ctrlProps/ctrlProp18.xml"/><Relationship Id="rId37" Type="http://schemas.openxmlformats.org/officeDocument/2006/relationships/ctrlProp" Target="../ctrlProps/ctrlProp23.xml"/><Relationship Id="rId40" Type="http://schemas.openxmlformats.org/officeDocument/2006/relationships/ctrlProp" Target="../ctrlProps/ctrlProp26.xml"/><Relationship Id="rId45" Type="http://schemas.openxmlformats.org/officeDocument/2006/relationships/ctrlProp" Target="../ctrlProps/ctrlProp31.xml"/><Relationship Id="rId5" Type="http://schemas.openxmlformats.org/officeDocument/2006/relationships/customProperty" Target="../customProperty1.bin"/><Relationship Id="rId15" Type="http://schemas.openxmlformats.org/officeDocument/2006/relationships/ctrlProp" Target="../ctrlProps/ctrlProp1.xml"/><Relationship Id="rId23" Type="http://schemas.openxmlformats.org/officeDocument/2006/relationships/ctrlProp" Target="../ctrlProps/ctrlProp9.xml"/><Relationship Id="rId28" Type="http://schemas.openxmlformats.org/officeDocument/2006/relationships/ctrlProp" Target="../ctrlProps/ctrlProp14.xml"/><Relationship Id="rId36" Type="http://schemas.openxmlformats.org/officeDocument/2006/relationships/ctrlProp" Target="../ctrlProps/ctrlProp22.xml"/><Relationship Id="rId10" Type="http://schemas.openxmlformats.org/officeDocument/2006/relationships/customProperty" Target="../customProperty6.bin"/><Relationship Id="rId19" Type="http://schemas.openxmlformats.org/officeDocument/2006/relationships/ctrlProp" Target="../ctrlProps/ctrlProp5.xml"/><Relationship Id="rId31" Type="http://schemas.openxmlformats.org/officeDocument/2006/relationships/ctrlProp" Target="../ctrlProps/ctrlProp17.xml"/><Relationship Id="rId44" Type="http://schemas.openxmlformats.org/officeDocument/2006/relationships/ctrlProp" Target="../ctrlProps/ctrlProp30.xml"/><Relationship Id="rId4" Type="http://schemas.openxmlformats.org/officeDocument/2006/relationships/printerSettings" Target="../printerSettings/printerSettings1.bin"/><Relationship Id="rId9" Type="http://schemas.openxmlformats.org/officeDocument/2006/relationships/customProperty" Target="../customProperty5.bin"/><Relationship Id="rId14" Type="http://schemas.openxmlformats.org/officeDocument/2006/relationships/vmlDrawing" Target="../drawings/vmlDrawing1.vml"/><Relationship Id="rId22" Type="http://schemas.openxmlformats.org/officeDocument/2006/relationships/ctrlProp" Target="../ctrlProps/ctrlProp8.xml"/><Relationship Id="rId27" Type="http://schemas.openxmlformats.org/officeDocument/2006/relationships/ctrlProp" Target="../ctrlProps/ctrlProp13.xml"/><Relationship Id="rId30" Type="http://schemas.openxmlformats.org/officeDocument/2006/relationships/ctrlProp" Target="../ctrlProps/ctrlProp16.xml"/><Relationship Id="rId35" Type="http://schemas.openxmlformats.org/officeDocument/2006/relationships/ctrlProp" Target="../ctrlProps/ctrlProp21.xml"/><Relationship Id="rId43" Type="http://schemas.openxmlformats.org/officeDocument/2006/relationships/ctrlProp" Target="../ctrlProps/ctrlProp29.xml"/><Relationship Id="rId8" Type="http://schemas.openxmlformats.org/officeDocument/2006/relationships/customProperty" Target="../customProperty4.bin"/><Relationship Id="rId3" Type="http://schemas.openxmlformats.org/officeDocument/2006/relationships/hyperlink" Target="https://www.jal.co.jp/jalonline/contact/terms.html" TargetMode="External"/><Relationship Id="rId12" Type="http://schemas.openxmlformats.org/officeDocument/2006/relationships/customProperty" Target="../customProperty8.bin"/><Relationship Id="rId17" Type="http://schemas.openxmlformats.org/officeDocument/2006/relationships/ctrlProp" Target="../ctrlProps/ctrlProp3.xml"/><Relationship Id="rId25" Type="http://schemas.openxmlformats.org/officeDocument/2006/relationships/ctrlProp" Target="../ctrlProps/ctrlProp11.xml"/><Relationship Id="rId33" Type="http://schemas.openxmlformats.org/officeDocument/2006/relationships/ctrlProp" Target="../ctrlProps/ctrlProp19.xml"/><Relationship Id="rId38" Type="http://schemas.openxmlformats.org/officeDocument/2006/relationships/ctrlProp" Target="../ctrlProps/ctrlProp24.xml"/><Relationship Id="rId46" Type="http://schemas.openxmlformats.org/officeDocument/2006/relationships/ctrlProp" Target="../ctrlProps/ctrlProp32.xml"/><Relationship Id="rId20" Type="http://schemas.openxmlformats.org/officeDocument/2006/relationships/ctrlProp" Target="../ctrlProps/ctrlProp6.xml"/><Relationship Id="rId41"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5.xml"/><Relationship Id="rId18" Type="http://schemas.openxmlformats.org/officeDocument/2006/relationships/ctrlProp" Target="../ctrlProps/ctrlProp40.xml"/><Relationship Id="rId26" Type="http://schemas.openxmlformats.org/officeDocument/2006/relationships/ctrlProp" Target="../ctrlProps/ctrlProp48.xml"/><Relationship Id="rId39" Type="http://schemas.openxmlformats.org/officeDocument/2006/relationships/ctrlProp" Target="../ctrlProps/ctrlProp61.xml"/><Relationship Id="rId21" Type="http://schemas.openxmlformats.org/officeDocument/2006/relationships/ctrlProp" Target="../ctrlProps/ctrlProp43.xml"/><Relationship Id="rId34" Type="http://schemas.openxmlformats.org/officeDocument/2006/relationships/ctrlProp" Target="../ctrlProps/ctrlProp56.xml"/><Relationship Id="rId42" Type="http://schemas.openxmlformats.org/officeDocument/2006/relationships/ctrlProp" Target="../ctrlProps/ctrlProp64.xml"/><Relationship Id="rId7" Type="http://schemas.openxmlformats.org/officeDocument/2006/relationships/printerSettings" Target="../printerSettings/printerSettings2.bin"/><Relationship Id="rId2" Type="http://schemas.openxmlformats.org/officeDocument/2006/relationships/hyperlink" Target="https://travel.rakuten.co.jp/B2B/manual/Racco_kiyaku.pdf" TargetMode="External"/><Relationship Id="rId16" Type="http://schemas.openxmlformats.org/officeDocument/2006/relationships/ctrlProp" Target="../ctrlProps/ctrlProp38.xml"/><Relationship Id="rId20" Type="http://schemas.openxmlformats.org/officeDocument/2006/relationships/ctrlProp" Target="../ctrlProps/ctrlProp42.xml"/><Relationship Id="rId29" Type="http://schemas.openxmlformats.org/officeDocument/2006/relationships/ctrlProp" Target="../ctrlProps/ctrlProp51.xml"/><Relationship Id="rId41" Type="http://schemas.openxmlformats.org/officeDocument/2006/relationships/ctrlProp" Target="../ctrlProps/ctrlProp63.xml"/><Relationship Id="rId1" Type="http://schemas.openxmlformats.org/officeDocument/2006/relationships/hyperlink" Target="http://travel.rakuten.co.jp/info/agreement.html" TargetMode="External"/><Relationship Id="rId6" Type="http://schemas.openxmlformats.org/officeDocument/2006/relationships/hyperlink" Target="mailto:jiro.rakuten@rakuten.com" TargetMode="External"/><Relationship Id="rId11" Type="http://schemas.openxmlformats.org/officeDocument/2006/relationships/ctrlProp" Target="../ctrlProps/ctrlProp33.xml"/><Relationship Id="rId24" Type="http://schemas.openxmlformats.org/officeDocument/2006/relationships/ctrlProp" Target="../ctrlProps/ctrlProp46.xml"/><Relationship Id="rId32" Type="http://schemas.openxmlformats.org/officeDocument/2006/relationships/ctrlProp" Target="../ctrlProps/ctrlProp54.xml"/><Relationship Id="rId37" Type="http://schemas.openxmlformats.org/officeDocument/2006/relationships/ctrlProp" Target="../ctrlProps/ctrlProp59.xml"/><Relationship Id="rId40" Type="http://schemas.openxmlformats.org/officeDocument/2006/relationships/ctrlProp" Target="../ctrlProps/ctrlProp62.xml"/><Relationship Id="rId5" Type="http://schemas.openxmlformats.org/officeDocument/2006/relationships/hyperlink" Target="mailto:tato.rakuten@rakuten.com" TargetMode="External"/><Relationship Id="rId15" Type="http://schemas.openxmlformats.org/officeDocument/2006/relationships/ctrlProp" Target="../ctrlProps/ctrlProp37.xml"/><Relationship Id="rId23" Type="http://schemas.openxmlformats.org/officeDocument/2006/relationships/ctrlProp" Target="../ctrlProps/ctrlProp45.xml"/><Relationship Id="rId28" Type="http://schemas.openxmlformats.org/officeDocument/2006/relationships/ctrlProp" Target="../ctrlProps/ctrlProp50.xml"/><Relationship Id="rId36" Type="http://schemas.openxmlformats.org/officeDocument/2006/relationships/ctrlProp" Target="../ctrlProps/ctrlProp58.xml"/><Relationship Id="rId10" Type="http://schemas.openxmlformats.org/officeDocument/2006/relationships/vmlDrawing" Target="../drawings/vmlDrawing2.vml"/><Relationship Id="rId19" Type="http://schemas.openxmlformats.org/officeDocument/2006/relationships/ctrlProp" Target="../ctrlProps/ctrlProp41.xml"/><Relationship Id="rId31" Type="http://schemas.openxmlformats.org/officeDocument/2006/relationships/ctrlProp" Target="../ctrlProps/ctrlProp53.xml"/><Relationship Id="rId4" Type="http://schemas.openxmlformats.org/officeDocument/2006/relationships/hyperlink" Target="https://corp.rakuten.co.jp/" TargetMode="External"/><Relationship Id="rId9" Type="http://schemas.openxmlformats.org/officeDocument/2006/relationships/drawing" Target="../drawings/drawing2.xml"/><Relationship Id="rId14" Type="http://schemas.openxmlformats.org/officeDocument/2006/relationships/ctrlProp" Target="../ctrlProps/ctrlProp36.xml"/><Relationship Id="rId22" Type="http://schemas.openxmlformats.org/officeDocument/2006/relationships/ctrlProp" Target="../ctrlProps/ctrlProp44.xml"/><Relationship Id="rId27" Type="http://schemas.openxmlformats.org/officeDocument/2006/relationships/ctrlProp" Target="../ctrlProps/ctrlProp49.xml"/><Relationship Id="rId30" Type="http://schemas.openxmlformats.org/officeDocument/2006/relationships/ctrlProp" Target="../ctrlProps/ctrlProp52.xml"/><Relationship Id="rId35" Type="http://schemas.openxmlformats.org/officeDocument/2006/relationships/ctrlProp" Target="../ctrlProps/ctrlProp57.xml"/><Relationship Id="rId8" Type="http://schemas.openxmlformats.org/officeDocument/2006/relationships/customProperty" Target="../customProperty9.bin"/><Relationship Id="rId3" Type="http://schemas.openxmlformats.org/officeDocument/2006/relationships/hyperlink" Target="https://www.jal.co.jp/jalonline/contact/terms.html" TargetMode="External"/><Relationship Id="rId12" Type="http://schemas.openxmlformats.org/officeDocument/2006/relationships/ctrlProp" Target="../ctrlProps/ctrlProp34.xml"/><Relationship Id="rId17" Type="http://schemas.openxmlformats.org/officeDocument/2006/relationships/ctrlProp" Target="../ctrlProps/ctrlProp39.xml"/><Relationship Id="rId25" Type="http://schemas.openxmlformats.org/officeDocument/2006/relationships/ctrlProp" Target="../ctrlProps/ctrlProp47.xml"/><Relationship Id="rId33" Type="http://schemas.openxmlformats.org/officeDocument/2006/relationships/ctrlProp" Target="../ctrlProps/ctrlProp55.xml"/><Relationship Id="rId38" Type="http://schemas.openxmlformats.org/officeDocument/2006/relationships/ctrlProp" Target="../ctrlProps/ctrlProp6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96"/>
  <sheetViews>
    <sheetView showGridLines="0" tabSelected="1" view="pageBreakPreview" topLeftCell="A12" zoomScale="85" zoomScaleNormal="85" zoomScaleSheetLayoutView="85" zoomScalePageLayoutView="70" workbookViewId="0">
      <selection activeCell="E24" sqref="E24:G24"/>
    </sheetView>
  </sheetViews>
  <sheetFormatPr defaultColWidth="8.81640625" defaultRowHeight="15"/>
  <cols>
    <col min="1" max="3" width="3.54296875" style="8" customWidth="1"/>
    <col min="4" max="24" width="4" style="8" customWidth="1"/>
    <col min="25" max="25" width="3.54296875" style="8" customWidth="1"/>
    <col min="26" max="26" width="3.81640625" style="8" customWidth="1"/>
    <col min="27" max="27" width="6.1796875" style="8" customWidth="1"/>
    <col min="28" max="28" width="5.453125" style="8" customWidth="1"/>
    <col min="29" max="29" width="8.81640625" style="8"/>
    <col min="30" max="30" width="21.453125" style="8" customWidth="1"/>
    <col min="31" max="16384" width="8.81640625" style="8"/>
  </cols>
  <sheetData>
    <row r="1" spans="1:38" s="36" customFormat="1" ht="20.149999999999999" customHeight="1" thickBot="1">
      <c r="A1" s="130" t="s">
        <v>0</v>
      </c>
      <c r="B1" s="131"/>
      <c r="C1" s="131"/>
      <c r="D1" s="131"/>
      <c r="E1" s="131"/>
      <c r="F1" s="131"/>
      <c r="G1" s="131"/>
      <c r="Z1" s="256" t="s">
        <v>1</v>
      </c>
      <c r="AA1" s="256"/>
      <c r="AB1" s="257"/>
    </row>
    <row r="2" spans="1:38" ht="20.149999999999999" customHeight="1">
      <c r="A2" s="267" t="s">
        <v>2</v>
      </c>
      <c r="B2" s="268"/>
      <c r="C2" s="268"/>
      <c r="D2" s="268"/>
      <c r="E2" s="268"/>
      <c r="F2" s="268"/>
      <c r="G2" s="268"/>
      <c r="H2" s="269" t="s">
        <v>3</v>
      </c>
      <c r="I2" s="269"/>
      <c r="J2" s="269"/>
      <c r="K2" s="269"/>
      <c r="L2" s="269"/>
      <c r="M2" s="269"/>
      <c r="N2" s="269"/>
      <c r="O2" s="269"/>
      <c r="P2" s="269"/>
      <c r="Q2" s="269"/>
      <c r="R2" s="269"/>
      <c r="S2" s="269"/>
      <c r="T2" s="269"/>
      <c r="U2" s="269"/>
      <c r="V2" s="2"/>
      <c r="W2" s="2"/>
      <c r="X2" s="270"/>
      <c r="Y2" s="271"/>
      <c r="Z2" s="271"/>
      <c r="AA2" s="271"/>
      <c r="AB2" s="272"/>
      <c r="AD2" s="14" t="s">
        <v>4</v>
      </c>
      <c r="AE2" s="36"/>
      <c r="AF2" s="36"/>
      <c r="AG2" s="115" t="s">
        <v>5</v>
      </c>
      <c r="AH2" s="36"/>
      <c r="AI2" s="36"/>
      <c r="AJ2" s="36"/>
      <c r="AK2" s="36"/>
      <c r="AL2" s="37"/>
    </row>
    <row r="3" spans="1:38" ht="20.149999999999999" customHeight="1">
      <c r="A3" s="273" t="s">
        <v>6</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5"/>
      <c r="AD3" s="15" t="s">
        <v>7</v>
      </c>
      <c r="AG3" s="116" t="s">
        <v>8</v>
      </c>
      <c r="AL3" s="38"/>
    </row>
    <row r="4" spans="1:38" s="9" customFormat="1" ht="20.149999999999999" customHeight="1" thickBot="1">
      <c r="A4" s="276" t="s">
        <v>9</v>
      </c>
      <c r="B4" s="277"/>
      <c r="C4" s="277"/>
      <c r="D4" s="277"/>
      <c r="E4" s="277"/>
      <c r="F4" s="277"/>
      <c r="G4" s="277"/>
      <c r="H4" s="277"/>
      <c r="I4" s="277"/>
      <c r="J4" s="277"/>
      <c r="K4" s="277"/>
      <c r="L4" s="277"/>
      <c r="M4" s="277"/>
      <c r="N4" s="277"/>
      <c r="O4" s="277"/>
      <c r="P4" s="277"/>
      <c r="Q4" s="277"/>
      <c r="R4" s="277"/>
      <c r="S4" s="277"/>
      <c r="T4" s="277"/>
      <c r="U4" s="277"/>
      <c r="V4" s="277"/>
      <c r="W4" s="277"/>
      <c r="X4" s="277"/>
      <c r="Y4" s="277"/>
      <c r="Z4" s="277"/>
      <c r="AA4" s="277"/>
      <c r="AB4" s="278"/>
      <c r="AD4" s="16" t="s">
        <v>10</v>
      </c>
      <c r="AE4" s="39"/>
      <c r="AF4" s="39"/>
      <c r="AG4" s="117" t="s">
        <v>11</v>
      </c>
      <c r="AH4" s="39"/>
      <c r="AI4" s="39"/>
      <c r="AJ4" s="39"/>
      <c r="AK4" s="39"/>
      <c r="AL4" s="41"/>
    </row>
    <row r="5" spans="1:38" s="9" customFormat="1" ht="20.149999999999999" customHeight="1">
      <c r="A5" s="127" t="s">
        <v>12</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9"/>
    </row>
    <row r="6" spans="1:38" s="9" customFormat="1" ht="20.149999999999999" customHeight="1">
      <c r="A6" s="61"/>
      <c r="B6" s="52" t="s">
        <v>13</v>
      </c>
      <c r="C6" s="51"/>
      <c r="D6" s="51"/>
      <c r="E6" s="51"/>
      <c r="F6" s="53"/>
      <c r="G6" s="51"/>
      <c r="H6" s="51"/>
      <c r="I6" s="52"/>
      <c r="J6" s="52"/>
      <c r="K6" s="51"/>
      <c r="L6" s="51"/>
      <c r="M6" s="51"/>
      <c r="N6" s="51"/>
      <c r="O6" s="51"/>
      <c r="P6" s="52" t="s">
        <v>14</v>
      </c>
      <c r="Q6" s="51"/>
      <c r="R6" s="51"/>
      <c r="S6" s="51"/>
      <c r="T6" s="51"/>
      <c r="U6" s="51"/>
      <c r="V6" s="51"/>
      <c r="W6" s="51"/>
      <c r="X6" s="51"/>
      <c r="Y6" s="51"/>
      <c r="Z6" s="51"/>
      <c r="AA6" s="51"/>
      <c r="AB6" s="64"/>
    </row>
    <row r="7" spans="1:38" s="9" customFormat="1" ht="20.149999999999999" customHeight="1">
      <c r="A7" s="61" t="s">
        <v>15</v>
      </c>
      <c r="B7" s="51"/>
      <c r="C7" s="51"/>
      <c r="D7" s="51"/>
      <c r="E7" s="51"/>
      <c r="F7" s="51"/>
      <c r="G7" s="51"/>
      <c r="H7" s="51"/>
      <c r="I7" s="51"/>
      <c r="J7" s="51"/>
      <c r="K7" s="51"/>
      <c r="L7" s="51"/>
      <c r="M7" s="51"/>
      <c r="N7" s="51"/>
      <c r="O7" s="51" t="s">
        <v>16</v>
      </c>
      <c r="P7" s="51"/>
      <c r="Q7" s="51"/>
      <c r="R7" s="51"/>
      <c r="S7" s="51"/>
      <c r="T7" s="51"/>
      <c r="U7" s="51"/>
      <c r="V7" s="51"/>
      <c r="W7" s="51"/>
      <c r="X7" s="51"/>
      <c r="Y7" s="51"/>
      <c r="Z7" s="51"/>
      <c r="AA7" s="51"/>
      <c r="AB7" s="64"/>
    </row>
    <row r="8" spans="1:38" s="9" customFormat="1" ht="20.149999999999999" customHeight="1">
      <c r="A8" s="62"/>
      <c r="B8" s="51"/>
      <c r="C8" s="52" t="s">
        <v>17</v>
      </c>
      <c r="D8" s="52"/>
      <c r="E8" s="52"/>
      <c r="F8" s="52"/>
      <c r="G8" s="54" t="s">
        <v>18</v>
      </c>
      <c r="H8" s="52"/>
      <c r="I8" s="52"/>
      <c r="J8" s="52"/>
      <c r="K8" s="52"/>
      <c r="L8" s="52"/>
      <c r="M8" s="52"/>
      <c r="N8" s="52"/>
      <c r="O8" s="52"/>
      <c r="P8" s="52"/>
      <c r="Q8" s="52"/>
      <c r="R8" s="52"/>
      <c r="S8" s="52"/>
      <c r="T8" s="52"/>
      <c r="U8" s="52"/>
      <c r="V8" s="52"/>
      <c r="W8" s="52"/>
      <c r="X8" s="52"/>
      <c r="Y8" s="52"/>
      <c r="Z8" s="52"/>
      <c r="AA8" s="52"/>
      <c r="AB8" s="65"/>
    </row>
    <row r="9" spans="1:38" s="9" customFormat="1" ht="20.149999999999999" customHeight="1">
      <c r="A9" s="62"/>
      <c r="B9" s="51"/>
      <c r="C9" s="52" t="s">
        <v>19</v>
      </c>
      <c r="D9" s="52"/>
      <c r="E9" s="52"/>
      <c r="F9" s="52"/>
      <c r="G9" s="54" t="s">
        <v>20</v>
      </c>
      <c r="H9" s="52"/>
      <c r="I9" s="52"/>
      <c r="J9" s="52"/>
      <c r="K9" s="52"/>
      <c r="L9" s="52"/>
      <c r="M9" s="52"/>
      <c r="N9" s="52"/>
      <c r="O9" s="52"/>
      <c r="P9" s="52"/>
      <c r="Q9" s="52"/>
      <c r="R9" s="52"/>
      <c r="S9" s="52"/>
      <c r="T9" s="52"/>
      <c r="U9" s="52"/>
      <c r="V9" s="52"/>
      <c r="W9" s="52"/>
      <c r="X9" s="52"/>
      <c r="Y9" s="52"/>
      <c r="Z9" s="52"/>
      <c r="AA9" s="52"/>
      <c r="AB9" s="65"/>
    </row>
    <row r="10" spans="1:38" s="9" customFormat="1" ht="20.149999999999999" customHeight="1">
      <c r="A10" s="62"/>
      <c r="B10" s="51"/>
      <c r="C10" s="71" t="s">
        <v>21</v>
      </c>
      <c r="D10" s="72" t="s">
        <v>22</v>
      </c>
      <c r="E10" s="73"/>
      <c r="F10" s="73"/>
      <c r="G10" s="54"/>
      <c r="H10" s="55"/>
      <c r="I10" s="55"/>
      <c r="J10" s="55"/>
      <c r="K10" s="55"/>
      <c r="L10" s="55"/>
      <c r="M10" s="55"/>
      <c r="N10" s="55"/>
      <c r="O10" s="55"/>
      <c r="P10" s="55"/>
      <c r="Q10" s="55"/>
      <c r="R10" s="55"/>
      <c r="S10" s="55"/>
      <c r="T10" s="55"/>
      <c r="U10" s="55"/>
      <c r="V10" s="55"/>
      <c r="W10" s="55"/>
      <c r="X10" s="55"/>
      <c r="Y10" s="55"/>
      <c r="Z10" s="55"/>
      <c r="AA10" s="55"/>
      <c r="AB10" s="65"/>
    </row>
    <row r="11" spans="1:38" s="9" customFormat="1" ht="20.149999999999999" customHeight="1">
      <c r="A11" s="61"/>
      <c r="B11" s="51"/>
      <c r="C11" s="52" t="s">
        <v>23</v>
      </c>
      <c r="D11" s="51"/>
      <c r="E11" s="51"/>
      <c r="F11" s="51"/>
      <c r="G11" s="258"/>
      <c r="H11" s="258"/>
      <c r="I11" s="258"/>
      <c r="J11" s="258"/>
      <c r="K11" s="258"/>
      <c r="L11" s="258"/>
      <c r="M11" s="258"/>
      <c r="N11" s="258"/>
      <c r="O11" s="258"/>
      <c r="P11" s="258"/>
      <c r="Q11" s="258"/>
      <c r="R11" s="258"/>
      <c r="S11" s="258"/>
      <c r="T11" s="258"/>
      <c r="U11" s="258"/>
      <c r="V11" s="258"/>
      <c r="W11" s="258"/>
      <c r="X11" s="258"/>
      <c r="Y11" s="258"/>
      <c r="Z11" s="258"/>
      <c r="AA11" s="258"/>
      <c r="AB11" s="259"/>
    </row>
    <row r="12" spans="1:38" s="9" customFormat="1" ht="20.149999999999999" customHeight="1">
      <c r="A12" s="62"/>
      <c r="B12" s="51"/>
      <c r="C12" s="52" t="s">
        <v>24</v>
      </c>
      <c r="D12" s="52"/>
      <c r="E12" s="52"/>
      <c r="F12" s="52"/>
      <c r="G12" s="258"/>
      <c r="H12" s="258"/>
      <c r="I12" s="258"/>
      <c r="J12" s="258"/>
      <c r="K12" s="258"/>
      <c r="L12" s="258"/>
      <c r="M12" s="258"/>
      <c r="N12" s="258"/>
      <c r="O12" s="258"/>
      <c r="P12" s="258"/>
      <c r="Q12" s="258"/>
      <c r="R12" s="258"/>
      <c r="S12" s="258"/>
      <c r="T12" s="258"/>
      <c r="U12" s="258"/>
      <c r="V12" s="258"/>
      <c r="W12" s="258"/>
      <c r="X12" s="258"/>
      <c r="Y12" s="258"/>
      <c r="Z12" s="258"/>
      <c r="AA12" s="258"/>
      <c r="AB12" s="259"/>
    </row>
    <row r="13" spans="1:38" s="9" customFormat="1" ht="20.149999999999999" customHeight="1">
      <c r="A13" s="120"/>
      <c r="B13" s="121" t="s">
        <v>25</v>
      </c>
      <c r="C13" s="118"/>
      <c r="D13" s="118"/>
      <c r="E13" s="52"/>
      <c r="F13" s="52"/>
      <c r="G13" s="52"/>
      <c r="H13" s="52"/>
      <c r="I13" s="52"/>
      <c r="J13" s="52"/>
      <c r="K13" s="52"/>
      <c r="L13" s="52"/>
      <c r="M13" s="52"/>
      <c r="N13" s="52"/>
      <c r="O13" s="52"/>
      <c r="P13" s="52"/>
      <c r="Q13" s="52"/>
      <c r="R13" s="52"/>
      <c r="S13" s="52"/>
      <c r="T13" s="52"/>
      <c r="U13" s="52"/>
      <c r="V13" s="52"/>
      <c r="W13" s="52"/>
      <c r="X13" s="52"/>
      <c r="Y13" s="52"/>
      <c r="Z13" s="52"/>
      <c r="AA13" s="52"/>
      <c r="AB13" s="65"/>
    </row>
    <row r="14" spans="1:38" s="9" customFormat="1" ht="20.149999999999999" customHeight="1">
      <c r="A14" s="120"/>
      <c r="B14" s="121" t="s">
        <v>26</v>
      </c>
      <c r="C14" s="118"/>
      <c r="D14" s="118"/>
      <c r="E14" s="118"/>
      <c r="F14" s="118"/>
      <c r="G14" s="118"/>
      <c r="H14" s="118"/>
      <c r="I14" s="118"/>
      <c r="J14" s="118"/>
      <c r="K14" s="118"/>
      <c r="L14" s="118"/>
      <c r="M14" s="118"/>
      <c r="N14" s="118"/>
      <c r="O14" s="118"/>
      <c r="P14" s="118"/>
      <c r="Q14" s="118"/>
      <c r="R14" s="118"/>
      <c r="S14" s="118"/>
      <c r="T14" s="118"/>
      <c r="U14" s="118"/>
      <c r="V14" s="118"/>
      <c r="W14" s="118"/>
      <c r="X14" s="118"/>
      <c r="Y14" s="118"/>
      <c r="Z14" s="118"/>
      <c r="AA14" s="118"/>
      <c r="AB14" s="119"/>
    </row>
    <row r="15" spans="1:38" s="9" customFormat="1" ht="20.149999999999999" customHeight="1">
      <c r="A15" s="122"/>
      <c r="B15" s="50" t="s">
        <v>27</v>
      </c>
      <c r="C15" s="118"/>
      <c r="D15" s="118"/>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9"/>
    </row>
    <row r="16" spans="1:38" s="9" customFormat="1" ht="20.149999999999999" customHeight="1">
      <c r="A16" s="199" t="s">
        <v>28</v>
      </c>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79"/>
      <c r="AC16" s="43"/>
    </row>
    <row r="17" spans="1:29" s="9" customFormat="1" ht="20.149999999999999" customHeight="1">
      <c r="A17" s="63"/>
      <c r="B17" s="1" t="s">
        <v>29</v>
      </c>
      <c r="C17" s="1"/>
      <c r="D17" s="1"/>
      <c r="E17" s="1"/>
      <c r="F17" s="1"/>
      <c r="G17" s="1" t="s">
        <v>30</v>
      </c>
      <c r="H17" s="1"/>
      <c r="I17" s="1"/>
      <c r="J17" s="1"/>
      <c r="K17" s="1"/>
      <c r="L17" s="3"/>
      <c r="M17" s="1"/>
      <c r="N17" s="1" t="s">
        <v>31</v>
      </c>
      <c r="O17" s="1"/>
      <c r="P17" s="1"/>
      <c r="Q17" s="1"/>
      <c r="R17" s="1"/>
      <c r="S17" s="1"/>
      <c r="T17" s="1"/>
      <c r="U17" s="1"/>
      <c r="V17" s="1"/>
      <c r="W17" s="1"/>
      <c r="X17" s="1"/>
      <c r="Y17" s="1"/>
      <c r="Z17" s="1"/>
      <c r="AA17" s="1"/>
      <c r="AB17" s="66"/>
      <c r="AC17" s="43"/>
    </row>
    <row r="18" spans="1:29" s="9" customFormat="1" ht="20.149999999999999" customHeight="1">
      <c r="A18" s="123" t="s">
        <v>32</v>
      </c>
      <c r="B18" s="124"/>
      <c r="C18" s="124"/>
      <c r="D18" s="124"/>
      <c r="E18" s="124"/>
      <c r="F18" s="124"/>
      <c r="G18" s="124"/>
      <c r="H18" s="124"/>
      <c r="I18" s="124"/>
      <c r="J18" s="124"/>
      <c r="K18" s="124"/>
      <c r="L18" s="125"/>
      <c r="M18" s="124"/>
      <c r="N18" s="124"/>
      <c r="O18" s="124"/>
      <c r="P18" s="124"/>
      <c r="Q18" s="124"/>
      <c r="R18" s="124"/>
      <c r="S18" s="124"/>
      <c r="T18" s="124"/>
      <c r="U18" s="124"/>
      <c r="V18" s="124"/>
      <c r="W18" s="124"/>
      <c r="X18" s="124"/>
      <c r="Y18" s="124"/>
      <c r="Z18" s="124"/>
      <c r="AA18" s="124"/>
      <c r="AB18" s="126"/>
      <c r="AC18" s="43"/>
    </row>
    <row r="19" spans="1:29" s="9" customFormat="1" ht="20.149999999999999" customHeight="1">
      <c r="A19" s="199" t="s">
        <v>33</v>
      </c>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c r="AA19" s="200"/>
      <c r="AB19" s="279"/>
      <c r="AC19" s="43"/>
    </row>
    <row r="20" spans="1:29" s="9" customFormat="1" ht="20.149999999999999" customHeight="1">
      <c r="A20" s="153" t="s">
        <v>34</v>
      </c>
      <c r="B20" s="154"/>
      <c r="C20" s="154"/>
      <c r="D20" s="155"/>
      <c r="E20" s="141" t="s">
        <v>35</v>
      </c>
      <c r="F20" s="142"/>
      <c r="G20" s="138"/>
      <c r="H20" s="139"/>
      <c r="I20" s="139"/>
      <c r="J20" s="139"/>
      <c r="K20" s="139"/>
      <c r="L20" s="139"/>
      <c r="M20" s="139"/>
      <c r="N20" s="139"/>
      <c r="O20" s="139"/>
      <c r="P20" s="143"/>
      <c r="Q20" s="280" t="s">
        <v>36</v>
      </c>
      <c r="R20" s="280"/>
      <c r="S20" s="280"/>
      <c r="T20" s="138"/>
      <c r="U20" s="139"/>
      <c r="V20" s="139"/>
      <c r="W20" s="139"/>
      <c r="X20" s="139"/>
      <c r="Y20" s="139"/>
      <c r="Z20" s="139"/>
      <c r="AA20" s="139"/>
      <c r="AB20" s="140"/>
      <c r="AC20" s="43"/>
    </row>
    <row r="21" spans="1:29" s="9" customFormat="1" ht="20.149999999999999" customHeight="1">
      <c r="A21" s="156"/>
      <c r="B21" s="157"/>
      <c r="C21" s="157"/>
      <c r="D21" s="158"/>
      <c r="E21" s="162"/>
      <c r="F21" s="163"/>
      <c r="G21" s="163"/>
      <c r="H21" s="163"/>
      <c r="I21" s="163"/>
      <c r="J21" s="163"/>
      <c r="K21" s="163"/>
      <c r="L21" s="163"/>
      <c r="M21" s="163"/>
      <c r="N21" s="163"/>
      <c r="O21" s="163"/>
      <c r="P21" s="164"/>
      <c r="Q21" s="168"/>
      <c r="R21" s="168"/>
      <c r="S21" s="168"/>
      <c r="T21" s="169"/>
      <c r="U21" s="169"/>
      <c r="V21" s="169"/>
      <c r="W21" s="169"/>
      <c r="X21" s="169"/>
      <c r="Y21" s="169"/>
      <c r="Z21" s="169"/>
      <c r="AA21" s="169"/>
      <c r="AB21" s="170"/>
      <c r="AC21" s="43"/>
    </row>
    <row r="22" spans="1:29" s="9" customFormat="1" ht="20.149999999999999" customHeight="1">
      <c r="A22" s="159"/>
      <c r="B22" s="160"/>
      <c r="C22" s="160"/>
      <c r="D22" s="161"/>
      <c r="E22" s="165"/>
      <c r="F22" s="166"/>
      <c r="G22" s="166"/>
      <c r="H22" s="166"/>
      <c r="I22" s="166"/>
      <c r="J22" s="166"/>
      <c r="K22" s="166"/>
      <c r="L22" s="166"/>
      <c r="M22" s="166"/>
      <c r="N22" s="166"/>
      <c r="O22" s="166"/>
      <c r="P22" s="167"/>
      <c r="Q22" s="166"/>
      <c r="R22" s="166"/>
      <c r="S22" s="166"/>
      <c r="T22" s="166"/>
      <c r="U22" s="166"/>
      <c r="V22" s="166"/>
      <c r="W22" s="166"/>
      <c r="X22" s="166"/>
      <c r="Y22" s="166"/>
      <c r="Z22" s="166"/>
      <c r="AA22" s="166"/>
      <c r="AB22" s="171"/>
      <c r="AC22" s="43"/>
    </row>
    <row r="23" spans="1:29" s="9" customFormat="1" ht="20.149999999999999" customHeight="1">
      <c r="A23" s="153" t="s">
        <v>37</v>
      </c>
      <c r="B23" s="260"/>
      <c r="C23" s="260"/>
      <c r="D23" s="261"/>
      <c r="E23" s="241" t="s">
        <v>38</v>
      </c>
      <c r="F23" s="242"/>
      <c r="G23" s="356"/>
      <c r="H23" s="362" t="s">
        <v>39</v>
      </c>
      <c r="I23" s="362"/>
      <c r="J23" s="138"/>
      <c r="K23" s="139"/>
      <c r="L23" s="139"/>
      <c r="M23" s="139"/>
      <c r="N23" s="139"/>
      <c r="O23" s="139"/>
      <c r="P23" s="139"/>
      <c r="Q23" s="139"/>
      <c r="R23" s="139"/>
      <c r="S23" s="139"/>
      <c r="T23" s="139"/>
      <c r="U23" s="139"/>
      <c r="V23" s="139"/>
      <c r="W23" s="139"/>
      <c r="X23" s="139"/>
      <c r="Y23" s="139"/>
      <c r="Z23" s="139"/>
      <c r="AA23" s="139"/>
      <c r="AB23" s="140"/>
      <c r="AC23" s="43"/>
    </row>
    <row r="24" spans="1:29" s="9" customFormat="1" ht="20.149999999999999" customHeight="1">
      <c r="A24" s="156"/>
      <c r="B24" s="262"/>
      <c r="C24" s="262"/>
      <c r="D24" s="263"/>
      <c r="E24" s="357"/>
      <c r="F24" s="358"/>
      <c r="G24" s="359"/>
      <c r="H24" s="360"/>
      <c r="I24" s="358"/>
      <c r="J24" s="358"/>
      <c r="K24" s="358"/>
      <c r="L24" s="358"/>
      <c r="M24" s="358"/>
      <c r="N24" s="358"/>
      <c r="O24" s="358"/>
      <c r="P24" s="358"/>
      <c r="Q24" s="358"/>
      <c r="R24" s="358"/>
      <c r="S24" s="358"/>
      <c r="T24" s="358"/>
      <c r="U24" s="358"/>
      <c r="V24" s="358"/>
      <c r="W24" s="358"/>
      <c r="X24" s="358"/>
      <c r="Y24" s="358"/>
      <c r="Z24" s="358"/>
      <c r="AA24" s="358"/>
      <c r="AB24" s="361"/>
      <c r="AC24" s="43"/>
    </row>
    <row r="25" spans="1:29" s="9" customFormat="1" ht="20.149999999999999" customHeight="1">
      <c r="A25" s="264"/>
      <c r="B25" s="265"/>
      <c r="C25" s="265"/>
      <c r="D25" s="266"/>
      <c r="E25" s="203" t="s">
        <v>40</v>
      </c>
      <c r="F25" s="204"/>
      <c r="G25" s="204"/>
      <c r="H25" s="368"/>
      <c r="I25" s="369"/>
      <c r="J25" s="369"/>
      <c r="K25" s="369"/>
      <c r="L25" s="370"/>
      <c r="M25" s="203" t="s">
        <v>41</v>
      </c>
      <c r="N25" s="204"/>
      <c r="O25" s="204"/>
      <c r="P25" s="291"/>
      <c r="Q25" s="253"/>
      <c r="R25" s="253"/>
      <c r="S25" s="253"/>
      <c r="T25" s="292"/>
      <c r="U25" s="32"/>
      <c r="V25" s="191" t="s">
        <v>42</v>
      </c>
      <c r="W25" s="191"/>
      <c r="X25" s="191"/>
      <c r="Y25" s="32"/>
      <c r="Z25" s="191" t="s">
        <v>43</v>
      </c>
      <c r="AA25" s="191"/>
      <c r="AB25" s="192"/>
      <c r="AC25" s="43"/>
    </row>
    <row r="26" spans="1:29" s="9" customFormat="1" ht="20.149999999999999" customHeight="1">
      <c r="A26" s="146" t="s">
        <v>44</v>
      </c>
      <c r="B26" s="147"/>
      <c r="C26" s="147"/>
      <c r="D26" s="148"/>
      <c r="E26" s="4" t="s">
        <v>45</v>
      </c>
      <c r="F26" s="253"/>
      <c r="G26" s="253"/>
      <c r="H26" s="5" t="s">
        <v>46</v>
      </c>
      <c r="I26" s="107"/>
      <c r="J26" s="6" t="s">
        <v>47</v>
      </c>
      <c r="K26" s="203" t="s">
        <v>48</v>
      </c>
      <c r="L26" s="204"/>
      <c r="M26" s="254"/>
      <c r="N26" s="239"/>
      <c r="O26" s="240"/>
      <c r="P26" s="240"/>
      <c r="Q26" s="7" t="s">
        <v>49</v>
      </c>
      <c r="R26" s="203" t="s">
        <v>50</v>
      </c>
      <c r="S26" s="204"/>
      <c r="T26" s="254"/>
      <c r="U26" s="239"/>
      <c r="V26" s="240"/>
      <c r="W26" s="108" t="s">
        <v>51</v>
      </c>
      <c r="X26" s="203" t="s">
        <v>52</v>
      </c>
      <c r="Y26" s="254"/>
      <c r="Z26" s="239"/>
      <c r="AA26" s="240"/>
      <c r="AB26" s="67" t="s">
        <v>49</v>
      </c>
      <c r="AC26" s="43"/>
    </row>
    <row r="27" spans="1:29" s="9" customFormat="1" ht="20.149999999999999" customHeight="1">
      <c r="A27" s="146" t="s">
        <v>53</v>
      </c>
      <c r="B27" s="147"/>
      <c r="C27" s="147"/>
      <c r="D27" s="148"/>
      <c r="E27" s="250"/>
      <c r="F27" s="251"/>
      <c r="G27" s="251"/>
      <c r="H27" s="251"/>
      <c r="I27" s="251"/>
      <c r="J27" s="251"/>
      <c r="K27" s="251"/>
      <c r="L27" s="251"/>
      <c r="M27" s="251"/>
      <c r="N27" s="251"/>
      <c r="O27" s="251"/>
      <c r="P27" s="251"/>
      <c r="Q27" s="252"/>
      <c r="R27" s="33"/>
      <c r="S27" s="144" t="s">
        <v>54</v>
      </c>
      <c r="T27" s="144"/>
      <c r="U27" s="144"/>
      <c r="V27" s="144"/>
      <c r="W27" s="144"/>
      <c r="X27" s="144"/>
      <c r="Y27" s="144"/>
      <c r="Z27" s="144"/>
      <c r="AA27" s="144"/>
      <c r="AB27" s="145"/>
      <c r="AC27" s="43"/>
    </row>
    <row r="28" spans="1:29" s="9" customFormat="1" ht="20.149999999999999" customHeight="1">
      <c r="A28" s="199" t="s">
        <v>55</v>
      </c>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c r="AA28" s="200"/>
      <c r="AB28" s="279"/>
      <c r="AC28" s="43"/>
    </row>
    <row r="29" spans="1:29" s="9" customFormat="1" ht="20.149999999999999" customHeight="1">
      <c r="A29" s="244" t="s">
        <v>56</v>
      </c>
      <c r="B29" s="245"/>
      <c r="C29" s="245"/>
      <c r="D29" s="246"/>
      <c r="E29" s="241" t="s">
        <v>57</v>
      </c>
      <c r="F29" s="242"/>
      <c r="G29" s="243"/>
      <c r="H29" s="223"/>
      <c r="I29" s="224"/>
      <c r="J29" s="224"/>
      <c r="K29" s="224"/>
      <c r="L29" s="224"/>
      <c r="M29" s="224"/>
      <c r="N29" s="224"/>
      <c r="O29" s="224"/>
      <c r="P29" s="281"/>
      <c r="Q29" s="241" t="s">
        <v>57</v>
      </c>
      <c r="R29" s="242"/>
      <c r="S29" s="243"/>
      <c r="T29" s="223"/>
      <c r="U29" s="224"/>
      <c r="V29" s="224"/>
      <c r="W29" s="224"/>
      <c r="X29" s="224"/>
      <c r="Y29" s="224"/>
      <c r="Z29" s="224"/>
      <c r="AA29" s="224"/>
      <c r="AB29" s="225"/>
      <c r="AC29" s="43"/>
    </row>
    <row r="30" spans="1:29" s="9" customFormat="1" ht="20.149999999999999" customHeight="1">
      <c r="A30" s="247"/>
      <c r="B30" s="248"/>
      <c r="C30" s="248"/>
      <c r="D30" s="249"/>
      <c r="E30" s="193" t="s">
        <v>58</v>
      </c>
      <c r="F30" s="194"/>
      <c r="G30" s="195"/>
      <c r="H30" s="226"/>
      <c r="I30" s="227"/>
      <c r="J30" s="227"/>
      <c r="K30" s="227"/>
      <c r="L30" s="227"/>
      <c r="M30" s="227"/>
      <c r="N30" s="227"/>
      <c r="O30" s="227"/>
      <c r="P30" s="238"/>
      <c r="Q30" s="193" t="s">
        <v>59</v>
      </c>
      <c r="R30" s="194"/>
      <c r="S30" s="195"/>
      <c r="T30" s="226"/>
      <c r="U30" s="227"/>
      <c r="V30" s="227"/>
      <c r="W30" s="227"/>
      <c r="X30" s="227"/>
      <c r="Y30" s="227"/>
      <c r="Z30" s="227"/>
      <c r="AA30" s="227"/>
      <c r="AB30" s="228"/>
      <c r="AC30" s="43"/>
    </row>
    <row r="31" spans="1:29" s="9" customFormat="1" ht="20.149999999999999" customHeight="1">
      <c r="A31" s="282" t="s">
        <v>60</v>
      </c>
      <c r="B31" s="204"/>
      <c r="C31" s="204"/>
      <c r="D31" s="254"/>
      <c r="E31" s="188"/>
      <c r="F31" s="189"/>
      <c r="G31" s="189"/>
      <c r="H31" s="189"/>
      <c r="I31" s="189"/>
      <c r="J31" s="189"/>
      <c r="K31" s="189"/>
      <c r="L31" s="189"/>
      <c r="M31" s="189"/>
      <c r="N31" s="237"/>
      <c r="O31" s="203" t="s">
        <v>61</v>
      </c>
      <c r="P31" s="204"/>
      <c r="Q31" s="204"/>
      <c r="R31" s="254"/>
      <c r="S31" s="188"/>
      <c r="T31" s="189"/>
      <c r="U31" s="189"/>
      <c r="V31" s="189"/>
      <c r="W31" s="189"/>
      <c r="X31" s="189"/>
      <c r="Y31" s="189"/>
      <c r="Z31" s="189"/>
      <c r="AA31" s="189"/>
      <c r="AB31" s="190"/>
      <c r="AC31" s="43"/>
    </row>
    <row r="32" spans="1:29" s="9" customFormat="1" ht="20.149999999999999" customHeight="1">
      <c r="A32" s="282" t="s">
        <v>62</v>
      </c>
      <c r="B32" s="204"/>
      <c r="C32" s="204"/>
      <c r="D32" s="254"/>
      <c r="E32" s="371"/>
      <c r="F32" s="372"/>
      <c r="G32" s="372"/>
      <c r="H32" s="372"/>
      <c r="I32" s="372"/>
      <c r="J32" s="372"/>
      <c r="K32" s="372"/>
      <c r="L32" s="372"/>
      <c r="M32" s="372"/>
      <c r="N32" s="372"/>
      <c r="O32" s="372"/>
      <c r="P32" s="372"/>
      <c r="Q32" s="372"/>
      <c r="R32" s="372"/>
      <c r="S32" s="372"/>
      <c r="T32" s="372"/>
      <c r="U32" s="372"/>
      <c r="V32" s="372"/>
      <c r="W32" s="372"/>
      <c r="X32" s="183" t="s">
        <v>63</v>
      </c>
      <c r="Y32" s="183"/>
      <c r="Z32" s="183"/>
      <c r="AA32" s="183"/>
      <c r="AB32" s="184"/>
      <c r="AC32" s="43"/>
    </row>
    <row r="33" spans="1:36" ht="20.149999999999999" customHeight="1">
      <c r="A33" s="177" t="s">
        <v>64</v>
      </c>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9"/>
      <c r="AC33" s="42"/>
    </row>
    <row r="34" spans="1:36" ht="20.149999999999999" customHeight="1">
      <c r="A34" s="180"/>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2"/>
      <c r="AC34" s="42"/>
    </row>
    <row r="35" spans="1:36" ht="20.149999999999999" customHeight="1">
      <c r="A35" s="199" t="s">
        <v>65</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79"/>
      <c r="AC35" s="42"/>
    </row>
    <row r="36" spans="1:36" ht="20.149999999999999" customHeight="1">
      <c r="A36" s="244" t="s">
        <v>66</v>
      </c>
      <c r="B36" s="245"/>
      <c r="C36" s="245"/>
      <c r="D36" s="246"/>
      <c r="E36" s="241" t="s">
        <v>57</v>
      </c>
      <c r="F36" s="242"/>
      <c r="G36" s="243"/>
      <c r="H36" s="223"/>
      <c r="I36" s="224"/>
      <c r="J36" s="224"/>
      <c r="K36" s="224"/>
      <c r="L36" s="224"/>
      <c r="M36" s="224"/>
      <c r="N36" s="224"/>
      <c r="O36" s="224"/>
      <c r="P36" s="281"/>
      <c r="Q36" s="241" t="s">
        <v>57</v>
      </c>
      <c r="R36" s="242"/>
      <c r="S36" s="243"/>
      <c r="T36" s="223"/>
      <c r="U36" s="224"/>
      <c r="V36" s="224"/>
      <c r="W36" s="224"/>
      <c r="X36" s="224"/>
      <c r="Y36" s="224"/>
      <c r="Z36" s="224"/>
      <c r="AA36" s="224"/>
      <c r="AB36" s="225"/>
      <c r="AC36" s="42"/>
    </row>
    <row r="37" spans="1:36" ht="20.149999999999999" customHeight="1">
      <c r="A37" s="247"/>
      <c r="B37" s="248"/>
      <c r="C37" s="248"/>
      <c r="D37" s="249"/>
      <c r="E37" s="193" t="s">
        <v>58</v>
      </c>
      <c r="F37" s="194"/>
      <c r="G37" s="195"/>
      <c r="H37" s="226"/>
      <c r="I37" s="227"/>
      <c r="J37" s="227"/>
      <c r="K37" s="227"/>
      <c r="L37" s="227"/>
      <c r="M37" s="227"/>
      <c r="N37" s="227"/>
      <c r="O37" s="227"/>
      <c r="P37" s="238"/>
      <c r="Q37" s="193" t="s">
        <v>59</v>
      </c>
      <c r="R37" s="194"/>
      <c r="S37" s="195"/>
      <c r="T37" s="226"/>
      <c r="U37" s="227"/>
      <c r="V37" s="227"/>
      <c r="W37" s="227"/>
      <c r="X37" s="227"/>
      <c r="Y37" s="227"/>
      <c r="Z37" s="227"/>
      <c r="AA37" s="227"/>
      <c r="AB37" s="228"/>
      <c r="AC37" s="42"/>
    </row>
    <row r="38" spans="1:36" ht="20.149999999999999" customHeight="1">
      <c r="A38" s="282" t="s">
        <v>69</v>
      </c>
      <c r="B38" s="204"/>
      <c r="C38" s="204"/>
      <c r="D38" s="254"/>
      <c r="E38" s="188"/>
      <c r="F38" s="189"/>
      <c r="G38" s="189"/>
      <c r="H38" s="189"/>
      <c r="I38" s="189"/>
      <c r="J38" s="189"/>
      <c r="K38" s="189"/>
      <c r="L38" s="189"/>
      <c r="M38" s="189"/>
      <c r="N38" s="237"/>
      <c r="O38" s="203" t="s">
        <v>61</v>
      </c>
      <c r="P38" s="204"/>
      <c r="Q38" s="204"/>
      <c r="R38" s="254"/>
      <c r="S38" s="188"/>
      <c r="T38" s="189"/>
      <c r="U38" s="189"/>
      <c r="V38" s="189"/>
      <c r="W38" s="189"/>
      <c r="X38" s="189"/>
      <c r="Y38" s="189"/>
      <c r="Z38" s="189"/>
      <c r="AA38" s="189"/>
      <c r="AB38" s="190"/>
      <c r="AC38" s="42"/>
    </row>
    <row r="39" spans="1:36" ht="20.149999999999999" customHeight="1">
      <c r="A39" s="282" t="s">
        <v>71</v>
      </c>
      <c r="B39" s="204"/>
      <c r="C39" s="204"/>
      <c r="D39" s="254"/>
      <c r="E39" s="341"/>
      <c r="F39" s="189"/>
      <c r="G39" s="189"/>
      <c r="H39" s="189"/>
      <c r="I39" s="189"/>
      <c r="J39" s="189"/>
      <c r="K39" s="189"/>
      <c r="L39" s="189"/>
      <c r="M39" s="189"/>
      <c r="N39" s="189"/>
      <c r="O39" s="189"/>
      <c r="P39" s="189"/>
      <c r="Q39" s="189"/>
      <c r="R39" s="189"/>
      <c r="S39" s="189"/>
      <c r="T39" s="189"/>
      <c r="U39" s="189"/>
      <c r="V39" s="189"/>
      <c r="W39" s="189"/>
      <c r="X39" s="183" t="s">
        <v>63</v>
      </c>
      <c r="Y39" s="183"/>
      <c r="Z39" s="183"/>
      <c r="AA39" s="183"/>
      <c r="AB39" s="184"/>
      <c r="AC39" s="42"/>
    </row>
    <row r="40" spans="1:36" ht="20.149999999999999" customHeight="1">
      <c r="A40" s="199" t="s">
        <v>72</v>
      </c>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c r="AA40" s="200"/>
      <c r="AB40" s="279"/>
      <c r="AC40" s="42"/>
    </row>
    <row r="41" spans="1:36" ht="20.149999999999999" customHeight="1">
      <c r="A41" s="347" t="s">
        <v>73</v>
      </c>
      <c r="B41" s="348"/>
      <c r="C41" s="348"/>
      <c r="D41" s="348"/>
      <c r="E41" s="151" t="s">
        <v>74</v>
      </c>
      <c r="F41" s="152"/>
      <c r="G41" s="152"/>
      <c r="H41" s="149" t="s">
        <v>75</v>
      </c>
      <c r="I41" s="149"/>
      <c r="J41" s="149"/>
      <c r="K41" s="149"/>
      <c r="L41" s="149"/>
      <c r="M41" s="149"/>
      <c r="N41" s="149"/>
      <c r="O41" s="149"/>
      <c r="P41" s="150"/>
      <c r="Q41" s="336"/>
      <c r="R41" s="337"/>
      <c r="S41" s="337"/>
      <c r="T41" s="337"/>
      <c r="U41" s="337"/>
      <c r="V41" s="342" t="s">
        <v>76</v>
      </c>
      <c r="W41" s="342"/>
      <c r="X41" s="351" t="s">
        <v>77</v>
      </c>
      <c r="Y41" s="351"/>
      <c r="Z41" s="351"/>
      <c r="AA41" s="351"/>
      <c r="AB41" s="352"/>
      <c r="AC41" s="42"/>
    </row>
    <row r="42" spans="1:36" ht="20.149999999999999" customHeight="1">
      <c r="A42" s="347"/>
      <c r="B42" s="348"/>
      <c r="C42" s="348"/>
      <c r="D42" s="348"/>
      <c r="E42" s="151" t="s">
        <v>78</v>
      </c>
      <c r="F42" s="152"/>
      <c r="G42" s="152"/>
      <c r="H42" s="205" t="s">
        <v>79</v>
      </c>
      <c r="I42" s="205"/>
      <c r="J42" s="205"/>
      <c r="K42" s="205"/>
      <c r="L42" s="205"/>
      <c r="M42" s="205"/>
      <c r="N42" s="205"/>
      <c r="O42" s="205"/>
      <c r="P42" s="206"/>
      <c r="Q42" s="373"/>
      <c r="R42" s="366"/>
      <c r="S42" s="366"/>
      <c r="T42" s="366"/>
      <c r="U42" s="336"/>
      <c r="V42" s="342" t="s">
        <v>76</v>
      </c>
      <c r="W42" s="343"/>
      <c r="X42" s="351"/>
      <c r="Y42" s="351"/>
      <c r="Z42" s="351"/>
      <c r="AA42" s="351"/>
      <c r="AB42" s="352"/>
      <c r="AC42" s="42"/>
    </row>
    <row r="43" spans="1:36" ht="20.149999999999999" customHeight="1">
      <c r="A43" s="347"/>
      <c r="B43" s="348"/>
      <c r="C43" s="348"/>
      <c r="D43" s="348"/>
      <c r="E43" s="151" t="s">
        <v>80</v>
      </c>
      <c r="F43" s="152"/>
      <c r="G43" s="152"/>
      <c r="H43" s="205" t="s">
        <v>81</v>
      </c>
      <c r="I43" s="205"/>
      <c r="J43" s="205"/>
      <c r="K43" s="205"/>
      <c r="L43" s="205"/>
      <c r="M43" s="205"/>
      <c r="N43" s="205"/>
      <c r="O43" s="205"/>
      <c r="P43" s="206"/>
      <c r="Q43" s="373"/>
      <c r="R43" s="366"/>
      <c r="S43" s="366"/>
      <c r="T43" s="366"/>
      <c r="U43" s="336"/>
      <c r="V43" s="342" t="s">
        <v>76</v>
      </c>
      <c r="W43" s="343"/>
      <c r="X43" s="351"/>
      <c r="Y43" s="351"/>
      <c r="Z43" s="351"/>
      <c r="AA43" s="351"/>
      <c r="AB43" s="352"/>
      <c r="AC43" s="42"/>
    </row>
    <row r="44" spans="1:36" ht="20.149999999999999" customHeight="1">
      <c r="A44" s="349"/>
      <c r="B44" s="350"/>
      <c r="C44" s="350"/>
      <c r="D44" s="350"/>
      <c r="E44" s="201" t="s">
        <v>82</v>
      </c>
      <c r="F44" s="202"/>
      <c r="G44" s="202"/>
      <c r="H44" s="207" t="s">
        <v>81</v>
      </c>
      <c r="I44" s="207"/>
      <c r="J44" s="207"/>
      <c r="K44" s="207"/>
      <c r="L44" s="207"/>
      <c r="M44" s="207"/>
      <c r="N44" s="207"/>
      <c r="O44" s="207"/>
      <c r="P44" s="208"/>
      <c r="Q44" s="336"/>
      <c r="R44" s="337"/>
      <c r="S44" s="337"/>
      <c r="T44" s="337"/>
      <c r="U44" s="337"/>
      <c r="V44" s="342" t="s">
        <v>76</v>
      </c>
      <c r="W44" s="343"/>
      <c r="X44" s="344">
        <f>SUM(Q41:U44)</f>
        <v>0</v>
      </c>
      <c r="Y44" s="345"/>
      <c r="Z44" s="345"/>
      <c r="AA44" s="345"/>
      <c r="AB44" s="346"/>
      <c r="AC44" s="42"/>
    </row>
    <row r="45" spans="1:36" ht="20.149999999999999" customHeight="1">
      <c r="A45" s="146" t="s">
        <v>83</v>
      </c>
      <c r="B45" s="147"/>
      <c r="C45" s="147"/>
      <c r="D45" s="148"/>
      <c r="E45" s="203"/>
      <c r="F45" s="204"/>
      <c r="G45" s="204"/>
      <c r="H45" s="149" t="s">
        <v>84</v>
      </c>
      <c r="I45" s="149"/>
      <c r="J45" s="149"/>
      <c r="K45" s="149"/>
      <c r="L45" s="149"/>
      <c r="M45" s="149"/>
      <c r="N45" s="149"/>
      <c r="O45" s="149"/>
      <c r="P45" s="150"/>
      <c r="Q45" s="366"/>
      <c r="R45" s="366"/>
      <c r="S45" s="366"/>
      <c r="T45" s="366"/>
      <c r="U45" s="336"/>
      <c r="V45" s="342" t="s">
        <v>76</v>
      </c>
      <c r="W45" s="367"/>
      <c r="X45" s="363"/>
      <c r="Y45" s="364"/>
      <c r="Z45" s="364"/>
      <c r="AA45" s="364"/>
      <c r="AB45" s="365"/>
      <c r="AC45" s="42"/>
    </row>
    <row r="46" spans="1:36" ht="20.149999999999999" customHeight="1">
      <c r="A46" s="185" t="s">
        <v>85</v>
      </c>
      <c r="B46" s="186"/>
      <c r="C46" s="186"/>
      <c r="D46" s="186"/>
      <c r="E46" s="186"/>
      <c r="F46" s="186"/>
      <c r="G46" s="186"/>
      <c r="H46" s="186"/>
      <c r="I46" s="186"/>
      <c r="J46" s="186"/>
      <c r="K46" s="186"/>
      <c r="L46" s="186"/>
      <c r="M46" s="186"/>
      <c r="N46" s="186"/>
      <c r="O46" s="186"/>
      <c r="P46" s="187"/>
      <c r="Q46" s="339"/>
      <c r="R46" s="340"/>
      <c r="S46" s="340"/>
      <c r="T46" s="340"/>
      <c r="U46" s="340"/>
      <c r="V46" s="69" t="s">
        <v>86</v>
      </c>
      <c r="W46" s="70"/>
      <c r="X46" s="353" t="s">
        <v>87</v>
      </c>
      <c r="Y46" s="354"/>
      <c r="Z46" s="354"/>
      <c r="AA46" s="354"/>
      <c r="AB46" s="355"/>
      <c r="AC46" s="42"/>
    </row>
    <row r="47" spans="1:36" ht="22">
      <c r="A47" s="199" t="s">
        <v>88</v>
      </c>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96" t="s">
        <v>89</v>
      </c>
      <c r="AA47" s="296"/>
      <c r="AB47" s="297"/>
      <c r="AC47" s="56" t="s">
        <v>90</v>
      </c>
      <c r="AD47" s="9"/>
    </row>
    <row r="48" spans="1:36" ht="20.149999999999999" customHeight="1">
      <c r="A48" s="332" t="s">
        <v>91</v>
      </c>
      <c r="B48" s="333"/>
      <c r="C48" s="333"/>
      <c r="D48" s="333"/>
      <c r="E48" s="201" t="s">
        <v>92</v>
      </c>
      <c r="F48" s="202"/>
      <c r="G48" s="202"/>
      <c r="H48" s="338"/>
      <c r="I48" s="287"/>
      <c r="J48" s="288"/>
      <c r="K48" s="288"/>
      <c r="L48" s="288"/>
      <c r="M48" s="288"/>
      <c r="N48" s="288"/>
      <c r="O48" s="288"/>
      <c r="P48" s="288"/>
      <c r="Q48" s="288"/>
      <c r="R48" s="288"/>
      <c r="S48" s="288"/>
      <c r="T48" s="289"/>
      <c r="U48" s="34" t="str">
        <f>IF(I48="", "", IF(AND(AI48=TRUE, AJ48=TRUE), "OK", "NG"))</f>
        <v/>
      </c>
      <c r="V48" s="306" t="s">
        <v>93</v>
      </c>
      <c r="W48" s="307"/>
      <c r="X48" s="307"/>
      <c r="Y48" s="307"/>
      <c r="Z48" s="307"/>
      <c r="AA48" s="307"/>
      <c r="AB48" s="308"/>
      <c r="AC48" s="57">
        <f>LEN(I48)</f>
        <v>0</v>
      </c>
      <c r="AD48" s="50"/>
      <c r="AI48" s="8" t="b" cm="1">
        <f t="array" aca="1" ref="AI48" ca="1">AND(
    LEN(I48) &gt;= 8,
    LEN(I48) &lt;= 20,
    ISNUMBER(SUMPRODUCT(--ISNUMBER(SEARCH(MID(I48, ROW(INDIRECT("1:"&amp;LEN(I48))), 1), "abcdefghijklmnopqrstuvwxyz0123456789-.")))),
    SUMPRODUCT(--ISNUMBER(SEARCH(MID(I48, ROW(INDIRECT("1:"&amp;LEN(I48))), 1), "abcdefghijklmnopqrstuvwxyz")))&gt;0,
    SUMPRODUCT(--ISNUMBER(SEARCH(MID(I48, ROW(INDIRECT("1:"&amp;LEN(I48))), 1), "0123456789")))&gt;0,
    EXACT(I48, LOWER(I48)),
    ISERROR(FIND("@", I48)),
    SUMPRODUCT(--ISNUMBER(SEARCH(MID(I48, ROW(INDIRECT("1:"&amp;LEN(I48))), 1), "!#$%&amp;'()*+/;&lt;=&gt;?@[\\]^_`{|}~"))) = 0,
    NOT(OR(RIGHT(I48, 1) = "-", RIGHT(I48, 1) = "."))
)</f>
        <v>0</v>
      </c>
      <c r="AJ48" s="8" t="b">
        <f>IF(I48 = I49, FALSE, TRUE)</f>
        <v>0</v>
      </c>
    </row>
    <row r="49" spans="1:37" s="10" customFormat="1" ht="20.149999999999999" customHeight="1">
      <c r="A49" s="334"/>
      <c r="B49" s="335"/>
      <c r="C49" s="335"/>
      <c r="D49" s="335"/>
      <c r="E49" s="312" t="s">
        <v>94</v>
      </c>
      <c r="F49" s="313"/>
      <c r="G49" s="313"/>
      <c r="H49" s="314"/>
      <c r="I49" s="287"/>
      <c r="J49" s="288"/>
      <c r="K49" s="288"/>
      <c r="L49" s="288"/>
      <c r="M49" s="288"/>
      <c r="N49" s="288"/>
      <c r="O49" s="288"/>
      <c r="P49" s="288"/>
      <c r="Q49" s="288"/>
      <c r="R49" s="288"/>
      <c r="S49" s="288"/>
      <c r="T49" s="289"/>
      <c r="U49" s="34" t="str">
        <f>IF(I49="", "", IF(AND(AI49=TRUE, AJ49=TRUE), "OK", "NG"))</f>
        <v/>
      </c>
      <c r="V49" s="309"/>
      <c r="W49" s="310"/>
      <c r="X49" s="310"/>
      <c r="Y49" s="310"/>
      <c r="Z49" s="310"/>
      <c r="AA49" s="310"/>
      <c r="AB49" s="311"/>
      <c r="AC49" s="57">
        <f>LEN(I49)</f>
        <v>0</v>
      </c>
      <c r="AD49" s="50"/>
      <c r="AI49" s="8" t="b" cm="1">
        <f t="array" aca="1" ref="AI49" ca="1">AND(
    LEN(I49) &gt;= 8,
    LEN(I49) &lt;= 20,
    ISNUMBER(SUMPRODUCT(--ISNUMBER(SEARCH(MID(I49, ROW(INDIRECT("1:"&amp;LEN(I49))), 1), "abcdefghijklmnopqrstuvwxyz0123456789-.")))),
    SUMPRODUCT(--ISNUMBER(SEARCH(MID(I49, ROW(INDIRECT("1:"&amp;LEN(I49))), 1), "abcdefghijklmnopqrstuvwxyz")))&gt;0,
    SUMPRODUCT(--ISNUMBER(SEARCH(MID(I49, ROW(INDIRECT("1:"&amp;LEN(I49))), 1), "0123456789")))&gt;0,
    EXACT(I49, LOWER(I49)),
    ISERROR(FIND("@", I49)),
    SUMPRODUCT(--ISNUMBER(SEARCH(MID(I49, ROW(INDIRECT("1:"&amp;LEN(I49))), 1), "!#$%&amp;'()*+/;&lt;=&gt;?@[\\]^_`{|}~"))) = 0,
    NOT(OR(RIGHT(I49, 1) = "-", RIGHT(I49, 1) = "."))
)</f>
        <v>0</v>
      </c>
      <c r="AJ49" s="8" t="b">
        <f>IF(I48 = I49, FALSE, TRUE)</f>
        <v>0</v>
      </c>
      <c r="AK49" s="8"/>
    </row>
    <row r="50" spans="1:37" ht="20.149999999999999" customHeight="1">
      <c r="A50" s="315" t="s">
        <v>95</v>
      </c>
      <c r="B50" s="316"/>
      <c r="C50" s="316"/>
      <c r="D50" s="316"/>
      <c r="E50" s="316"/>
      <c r="F50" s="316"/>
      <c r="G50" s="316"/>
      <c r="H50" s="317"/>
      <c r="I50" s="290"/>
      <c r="J50" s="288"/>
      <c r="K50" s="288"/>
      <c r="L50" s="288"/>
      <c r="M50" s="288"/>
      <c r="N50" s="288"/>
      <c r="O50" s="288"/>
      <c r="P50" s="288"/>
      <c r="Q50" s="288"/>
      <c r="R50" s="288"/>
      <c r="S50" s="288"/>
      <c r="T50" s="289"/>
      <c r="U50" s="34" t="str">
        <f t="shared" ref="U50:U51" ca="1" si="0">IF(AND(ISBLANK(I50), AI50=FALSE), "", IF(AI50, "OK", "NG"))</f>
        <v/>
      </c>
      <c r="V50" s="309"/>
      <c r="W50" s="310"/>
      <c r="X50" s="310"/>
      <c r="Y50" s="310"/>
      <c r="Z50" s="310"/>
      <c r="AA50" s="310"/>
      <c r="AB50" s="311"/>
      <c r="AC50" s="57">
        <f>LEN(I50)</f>
        <v>0</v>
      </c>
      <c r="AD50" s="50"/>
      <c r="AI50" s="8" t="b" cm="1">
        <f t="array" aca="1" ref="AI50" ca="1">AND(
    LEN(I50) &gt;= 8,
    LEN(I50) &lt;= 20,
    ISNUMBER(SUMPRODUCT(--ISNUMBER(SEARCH(MID(I50, ROW(INDIRECT("1:"&amp;LEN(I50))), 1), "abcdefghijklmnopqrstuvwxyz0123456789-.")))),
    SUMPRODUCT(--ISNUMBER(SEARCH(MID(I50, ROW(INDIRECT("1:"&amp;LEN(I50))), 1), "abcdefghijklmnopqrstuvwxyz")))&gt;0,
    SUMPRODUCT(--ISNUMBER(SEARCH(MID(I50, ROW(INDIRECT("1:"&amp;LEN(I50))), 1), "0123456789")))&gt;0,
    EXACT(I50, LOWER(I50)),
    ISERROR(FIND("@", I50)),
    SUMPRODUCT(--ISNUMBER(SEARCH(MID(I50, ROW(INDIRECT("1:"&amp;LEN(I50))), 1), "!#$%&amp;'()*+/;&lt;=&gt;?@[\\]^_`{|}~"))) = 0,
    NOT(OR(RIGHT(I50, 1) = "-", RIGHT(I50, 1) = "."))
)</f>
        <v>0</v>
      </c>
      <c r="AK50" s="8" t="str">
        <f t="shared" ref="AK50:AK51" si="1">IF(ISBLANK(AJ50), "", IF(AJ50, "〇", "×"))</f>
        <v/>
      </c>
    </row>
    <row r="51" spans="1:37" ht="20.149999999999999" customHeight="1">
      <c r="A51" s="315" t="s">
        <v>96</v>
      </c>
      <c r="B51" s="316"/>
      <c r="C51" s="316"/>
      <c r="D51" s="316"/>
      <c r="E51" s="316"/>
      <c r="F51" s="316"/>
      <c r="G51" s="316"/>
      <c r="H51" s="317"/>
      <c r="I51" s="290"/>
      <c r="J51" s="288"/>
      <c r="K51" s="288"/>
      <c r="L51" s="288"/>
      <c r="M51" s="288"/>
      <c r="N51" s="288"/>
      <c r="O51" s="288"/>
      <c r="P51" s="288"/>
      <c r="Q51" s="288"/>
      <c r="R51" s="288"/>
      <c r="S51" s="288"/>
      <c r="T51" s="288"/>
      <c r="U51" s="34" t="str">
        <f t="shared" ca="1" si="0"/>
        <v/>
      </c>
      <c r="V51" s="309"/>
      <c r="W51" s="310"/>
      <c r="X51" s="310"/>
      <c r="Y51" s="310"/>
      <c r="Z51" s="310"/>
      <c r="AA51" s="310"/>
      <c r="AB51" s="311"/>
      <c r="AC51" s="57">
        <f>LEN(I51)</f>
        <v>0</v>
      </c>
      <c r="AD51" s="50"/>
      <c r="AI51" s="8" t="b" cm="1">
        <f t="array" aca="1" ref="AI51" ca="1">AND(
    LEN(I51) &gt;= 8,
    LEN(I51) &lt;= 20,
    ISNUMBER(SUMPRODUCT(--ISNUMBER(SEARCH(MID(I51, ROW(INDIRECT("1:"&amp;LEN(I51))), 1), "abcdefghijklmnopqrstuvwxyz0123456789-.")))),
    SUMPRODUCT(--ISNUMBER(SEARCH(MID(I51, ROW(INDIRECT("1:"&amp;LEN(I51))), 1), "abcdefghijklmnopqrstuvwxyz")))&gt;0,
    SUMPRODUCT(--ISNUMBER(SEARCH(MID(I51, ROW(INDIRECT("1:"&amp;LEN(I51))), 1), "0123456789")))&gt;0,
    EXACT(I51, LOWER(I51)),
    ISERROR(FIND("@", I51)),
    SUMPRODUCT(--ISNUMBER(SEARCH(MID(I51, ROW(INDIRECT("1:"&amp;LEN(I51))), 1), "!#$%&amp;'()*+/;&lt;=&gt;?@[\\]^_`{|}~"))) = 0,
    NOT(OR(RIGHT(I51, 1) = "-", RIGHT(I51, 1) = "."))
)</f>
        <v>0</v>
      </c>
      <c r="AK51" s="8" t="str">
        <f t="shared" si="1"/>
        <v/>
      </c>
    </row>
    <row r="52" spans="1:37" ht="20.149999999999999" customHeight="1">
      <c r="A52" s="199" t="s">
        <v>97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79"/>
      <c r="AC52" s="42"/>
    </row>
    <row r="53" spans="1:37" s="11" customFormat="1" ht="20.149999999999999" customHeight="1">
      <c r="A53" s="298" t="s">
        <v>98</v>
      </c>
      <c r="B53" s="299"/>
      <c r="C53" s="299"/>
      <c r="D53" s="299"/>
      <c r="E53" s="299"/>
      <c r="F53" s="299"/>
      <c r="G53" s="299"/>
      <c r="H53" s="299"/>
      <c r="I53" s="299"/>
      <c r="J53" s="299"/>
      <c r="K53" s="299"/>
      <c r="L53" s="299"/>
      <c r="M53" s="299"/>
      <c r="N53" s="300"/>
      <c r="O53" s="49"/>
      <c r="P53" s="175" t="s">
        <v>99</v>
      </c>
      <c r="Q53" s="175"/>
      <c r="R53" s="175"/>
      <c r="S53" s="175"/>
      <c r="T53" s="175"/>
      <c r="U53" s="175"/>
      <c r="V53" s="17"/>
      <c r="W53" s="175" t="s">
        <v>100</v>
      </c>
      <c r="X53" s="175"/>
      <c r="Y53" s="175"/>
      <c r="Z53" s="175"/>
      <c r="AA53" s="175"/>
      <c r="AB53" s="176"/>
      <c r="AC53" s="42"/>
    </row>
    <row r="54" spans="1:37" ht="20.149999999999999" customHeight="1">
      <c r="A54" s="199" t="s">
        <v>101</v>
      </c>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79"/>
      <c r="AC54" s="42"/>
    </row>
    <row r="55" spans="1:37" ht="20.149999999999999" customHeight="1">
      <c r="A55" s="301" t="s">
        <v>102</v>
      </c>
      <c r="B55" s="302"/>
      <c r="C55" s="302"/>
      <c r="D55" s="302"/>
      <c r="E55" s="45"/>
      <c r="F55" s="105" t="s">
        <v>103</v>
      </c>
      <c r="G55" s="105"/>
      <c r="H55" s="105"/>
      <c r="I55" s="105"/>
      <c r="J55" s="105" t="s">
        <v>104</v>
      </c>
      <c r="K55" s="105"/>
      <c r="L55" s="46"/>
      <c r="M55" s="303" t="s">
        <v>105</v>
      </c>
      <c r="N55" s="152"/>
      <c r="O55" s="152"/>
      <c r="P55" s="304"/>
      <c r="Q55" s="45"/>
      <c r="R55" s="105" t="s">
        <v>106</v>
      </c>
      <c r="S55" s="105"/>
      <c r="T55" s="105"/>
      <c r="U55" s="105"/>
      <c r="V55" s="105"/>
      <c r="W55" s="105" t="s">
        <v>107</v>
      </c>
      <c r="X55" s="105"/>
      <c r="Y55" s="105"/>
      <c r="Z55" s="105"/>
      <c r="AA55" s="105"/>
      <c r="AB55" s="106"/>
      <c r="AC55" s="42"/>
    </row>
    <row r="56" spans="1:37" s="9" customFormat="1" ht="20.149999999999999" customHeight="1">
      <c r="A56" s="318" t="s">
        <v>108</v>
      </c>
      <c r="B56" s="152"/>
      <c r="C56" s="152"/>
      <c r="D56" s="304"/>
      <c r="E56" s="47"/>
      <c r="F56" s="48" t="s">
        <v>109</v>
      </c>
      <c r="G56" s="48"/>
      <c r="H56" s="58"/>
      <c r="I56" s="48" t="s">
        <v>110</v>
      </c>
      <c r="J56" s="58"/>
      <c r="K56" s="58"/>
      <c r="L56" s="48" t="s">
        <v>111</v>
      </c>
      <c r="M56" s="58"/>
      <c r="N56" s="31"/>
      <c r="O56" s="48" t="s">
        <v>112</v>
      </c>
      <c r="P56" s="58"/>
      <c r="Q56" s="31"/>
      <c r="R56" s="48" t="s">
        <v>113</v>
      </c>
      <c r="S56" s="31"/>
      <c r="T56" s="48"/>
      <c r="U56" s="48" t="s">
        <v>114</v>
      </c>
      <c r="V56" s="31"/>
      <c r="W56" s="31"/>
      <c r="X56" s="48" t="s">
        <v>115</v>
      </c>
      <c r="Y56" s="58"/>
      <c r="Z56" s="48"/>
      <c r="AA56" s="48" t="s">
        <v>116</v>
      </c>
      <c r="AB56" s="68"/>
      <c r="AC56" s="43"/>
    </row>
    <row r="57" spans="1:37" s="9" customFormat="1" ht="20.149999999999999" customHeight="1">
      <c r="A57" s="172" t="s">
        <v>117</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305"/>
      <c r="AC57" s="43"/>
    </row>
    <row r="58" spans="1:37" s="9" customFormat="1" ht="20.149999999999999" customHeight="1">
      <c r="A58" s="321" t="s">
        <v>118</v>
      </c>
      <c r="B58" s="322"/>
      <c r="C58" s="323"/>
      <c r="D58" s="283" t="s">
        <v>119</v>
      </c>
      <c r="E58" s="283"/>
      <c r="F58" s="283"/>
      <c r="G58" s="283"/>
      <c r="H58" s="283"/>
      <c r="I58" s="283"/>
      <c r="J58" s="283"/>
      <c r="K58" s="283"/>
      <c r="L58" s="283"/>
      <c r="M58" s="283"/>
      <c r="N58" s="283"/>
      <c r="O58" s="283"/>
      <c r="P58" s="283"/>
      <c r="Q58" s="283"/>
      <c r="R58" s="283"/>
      <c r="S58" s="283"/>
      <c r="T58" s="283"/>
      <c r="U58" s="283"/>
      <c r="V58" s="283"/>
      <c r="W58" s="283"/>
      <c r="X58" s="284"/>
      <c r="Y58" s="319" t="s">
        <v>120</v>
      </c>
      <c r="Z58" s="319"/>
      <c r="AA58" s="319"/>
      <c r="AB58" s="320"/>
      <c r="AC58" s="43"/>
    </row>
    <row r="59" spans="1:37" s="11" customFormat="1" ht="20.149999999999999" customHeight="1">
      <c r="A59" s="285" t="s">
        <v>121</v>
      </c>
      <c r="B59" s="286"/>
      <c r="C59" s="286"/>
      <c r="D59" s="209" t="s">
        <v>122</v>
      </c>
      <c r="E59" s="210"/>
      <c r="F59" s="210"/>
      <c r="G59" s="210"/>
      <c r="H59" s="210"/>
      <c r="I59" s="210"/>
      <c r="J59" s="210"/>
      <c r="K59" s="210"/>
      <c r="L59" s="210"/>
      <c r="M59" s="211"/>
      <c r="N59" s="210" t="s">
        <v>123</v>
      </c>
      <c r="O59" s="210"/>
      <c r="P59" s="210"/>
      <c r="Q59" s="210"/>
      <c r="R59" s="210"/>
      <c r="S59" s="210"/>
      <c r="T59" s="210"/>
      <c r="U59" s="210"/>
      <c r="V59" s="210"/>
      <c r="W59" s="210"/>
      <c r="X59" s="215"/>
      <c r="Y59" s="326" t="s">
        <v>120</v>
      </c>
      <c r="Z59" s="326"/>
      <c r="AA59" s="326"/>
      <c r="AB59" s="327"/>
      <c r="AC59" s="42"/>
    </row>
    <row r="60" spans="1:37" s="11" customFormat="1" ht="20.149999999999999" customHeight="1">
      <c r="A60" s="285"/>
      <c r="B60" s="286"/>
      <c r="C60" s="286"/>
      <c r="D60" s="212"/>
      <c r="E60" s="213"/>
      <c r="F60" s="213"/>
      <c r="G60" s="213"/>
      <c r="H60" s="213"/>
      <c r="I60" s="213"/>
      <c r="J60" s="213"/>
      <c r="K60" s="213"/>
      <c r="L60" s="213"/>
      <c r="M60" s="214"/>
      <c r="N60" s="213"/>
      <c r="O60" s="213"/>
      <c r="P60" s="213"/>
      <c r="Q60" s="213"/>
      <c r="R60" s="213"/>
      <c r="S60" s="213"/>
      <c r="T60" s="213"/>
      <c r="U60" s="213"/>
      <c r="V60" s="213"/>
      <c r="W60" s="213"/>
      <c r="X60" s="216"/>
      <c r="Y60" s="328"/>
      <c r="Z60" s="328"/>
      <c r="AA60" s="328"/>
      <c r="AB60" s="329"/>
      <c r="AC60" s="42"/>
    </row>
    <row r="61" spans="1:37" s="11" customFormat="1" ht="20.149999999999999" customHeight="1">
      <c r="A61" s="285"/>
      <c r="B61" s="286"/>
      <c r="C61" s="286"/>
      <c r="D61" s="324" t="s">
        <v>124</v>
      </c>
      <c r="E61" s="325"/>
      <c r="F61" s="325"/>
      <c r="G61" s="325"/>
      <c r="H61" s="325"/>
      <c r="I61" s="325"/>
      <c r="J61" s="325"/>
      <c r="K61" s="325"/>
      <c r="L61" s="325"/>
      <c r="M61" s="325"/>
      <c r="N61" s="325"/>
      <c r="O61" s="325"/>
      <c r="P61" s="325"/>
      <c r="Q61" s="325"/>
      <c r="R61" s="325"/>
      <c r="S61" s="325"/>
      <c r="T61" s="325"/>
      <c r="U61" s="325"/>
      <c r="V61" s="325"/>
      <c r="W61" s="325"/>
      <c r="X61" s="325"/>
      <c r="Y61" s="330"/>
      <c r="Z61" s="330"/>
      <c r="AA61" s="330"/>
      <c r="AB61" s="331"/>
      <c r="AC61" s="42"/>
    </row>
    <row r="62" spans="1:37" ht="20.149999999999999" customHeight="1">
      <c r="A62" s="293" t="s">
        <v>125</v>
      </c>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5"/>
      <c r="AC62" s="42"/>
    </row>
    <row r="63" spans="1:37" ht="20.149999999999999" customHeight="1">
      <c r="A63" s="229" t="s">
        <v>126</v>
      </c>
      <c r="B63" s="230"/>
      <c r="C63" s="230"/>
      <c r="D63" s="230"/>
      <c r="E63" s="230"/>
      <c r="F63" s="217" t="s">
        <v>57</v>
      </c>
      <c r="G63" s="218"/>
      <c r="H63" s="219"/>
      <c r="I63" s="188"/>
      <c r="J63" s="189"/>
      <c r="K63" s="189"/>
      <c r="L63" s="189"/>
      <c r="M63" s="189"/>
      <c r="N63" s="189"/>
      <c r="O63" s="189"/>
      <c r="P63" s="189"/>
      <c r="Q63" s="237"/>
      <c r="R63" s="217" t="s">
        <v>57</v>
      </c>
      <c r="S63" s="218"/>
      <c r="T63" s="219"/>
      <c r="U63" s="223"/>
      <c r="V63" s="224"/>
      <c r="W63" s="224"/>
      <c r="X63" s="224"/>
      <c r="Y63" s="224"/>
      <c r="Z63" s="224"/>
      <c r="AA63" s="224"/>
      <c r="AB63" s="225"/>
      <c r="AC63" s="59"/>
      <c r="AD63" s="28"/>
      <c r="AE63" s="28"/>
      <c r="AF63" s="28"/>
      <c r="AG63" s="28"/>
    </row>
    <row r="64" spans="1:37" s="9" customFormat="1" ht="20.149999999999999" customHeight="1">
      <c r="A64" s="231"/>
      <c r="B64" s="232"/>
      <c r="C64" s="232"/>
      <c r="D64" s="232"/>
      <c r="E64" s="232"/>
      <c r="F64" s="220" t="s">
        <v>127</v>
      </c>
      <c r="G64" s="221"/>
      <c r="H64" s="222"/>
      <c r="I64" s="188"/>
      <c r="J64" s="189"/>
      <c r="K64" s="189"/>
      <c r="L64" s="189"/>
      <c r="M64" s="189"/>
      <c r="N64" s="189"/>
      <c r="O64" s="189"/>
      <c r="P64" s="189"/>
      <c r="Q64" s="237"/>
      <c r="R64" s="220" t="s">
        <v>128</v>
      </c>
      <c r="S64" s="221"/>
      <c r="T64" s="222"/>
      <c r="U64" s="226"/>
      <c r="V64" s="227"/>
      <c r="W64" s="227"/>
      <c r="X64" s="227"/>
      <c r="Y64" s="227"/>
      <c r="Z64" s="227"/>
      <c r="AA64" s="227"/>
      <c r="AB64" s="228"/>
      <c r="AC64" s="60"/>
      <c r="AD64" s="30"/>
      <c r="AE64" s="29"/>
      <c r="AF64" s="29"/>
      <c r="AG64" s="29"/>
    </row>
    <row r="65" spans="1:33" s="9" customFormat="1" ht="20.149999999999999" customHeight="1">
      <c r="A65" s="233"/>
      <c r="B65" s="234"/>
      <c r="C65" s="234"/>
      <c r="D65" s="234"/>
      <c r="E65" s="234"/>
      <c r="F65" s="235" t="s">
        <v>129</v>
      </c>
      <c r="G65" s="236"/>
      <c r="H65" s="236"/>
      <c r="I65" s="188"/>
      <c r="J65" s="189"/>
      <c r="K65" s="189"/>
      <c r="L65" s="189"/>
      <c r="M65" s="189"/>
      <c r="N65" s="189"/>
      <c r="O65" s="237"/>
      <c r="P65" s="235" t="s">
        <v>62</v>
      </c>
      <c r="Q65" s="236"/>
      <c r="R65" s="255"/>
      <c r="S65" s="188"/>
      <c r="T65" s="189"/>
      <c r="U65" s="189"/>
      <c r="V65" s="189"/>
      <c r="W65" s="189"/>
      <c r="X65" s="189"/>
      <c r="Y65" s="189"/>
      <c r="Z65" s="189"/>
      <c r="AA65" s="189"/>
      <c r="AB65" s="190"/>
      <c r="AC65" s="60"/>
      <c r="AD65" s="29"/>
      <c r="AE65" s="29"/>
      <c r="AF65" s="29"/>
      <c r="AG65" s="29"/>
    </row>
    <row r="66" spans="1:33" s="9" customFormat="1" ht="20.149999999999999" customHeight="1">
      <c r="A66" s="172" t="s">
        <v>130</v>
      </c>
      <c r="B66" s="173"/>
      <c r="C66" s="173"/>
      <c r="D66" s="173"/>
      <c r="E66" s="173"/>
      <c r="F66" s="173"/>
      <c r="G66" s="173"/>
      <c r="H66" s="173"/>
      <c r="I66" s="173"/>
      <c r="J66" s="173"/>
      <c r="K66" s="173"/>
      <c r="L66" s="173"/>
      <c r="M66" s="173"/>
      <c r="N66" s="173"/>
      <c r="O66" s="173"/>
      <c r="P66" s="173"/>
      <c r="Q66" s="173"/>
      <c r="R66" s="173"/>
      <c r="S66" s="173"/>
      <c r="T66" s="173"/>
      <c r="U66" s="173"/>
      <c r="V66" s="173"/>
      <c r="W66" s="173"/>
      <c r="X66" s="174"/>
      <c r="Y66" s="35"/>
      <c r="Z66" s="175" t="s">
        <v>131</v>
      </c>
      <c r="AA66" s="175"/>
      <c r="AB66" s="176"/>
      <c r="AC66" s="43"/>
    </row>
    <row r="67" spans="1:33" s="9" customFormat="1" ht="20.149999999999999" customHeight="1">
      <c r="A67" s="132" t="s">
        <v>132</v>
      </c>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4"/>
      <c r="AC67" s="43"/>
    </row>
    <row r="68" spans="1:33" s="9" customFormat="1" ht="20.149999999999999" customHeight="1">
      <c r="A68" s="135"/>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7"/>
      <c r="AC68" s="43"/>
      <c r="AD68" s="44"/>
    </row>
    <row r="69" spans="1:33" s="9" customFormat="1" ht="20.149999999999999" customHeight="1">
      <c r="A69" s="135"/>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7"/>
      <c r="AC69" s="43"/>
    </row>
    <row r="70" spans="1:33" s="9" customFormat="1" ht="20.149999999999999" customHeight="1">
      <c r="A70" s="135"/>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7"/>
      <c r="AC70" s="43"/>
    </row>
    <row r="71" spans="1:33" s="9" customFormat="1" ht="20.149999999999999" customHeight="1">
      <c r="A71" s="135"/>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7"/>
      <c r="AC71" s="43"/>
    </row>
    <row r="72" spans="1:33" s="9" customFormat="1" ht="20.149999999999999" customHeight="1">
      <c r="A72" s="135"/>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7"/>
      <c r="AC72" s="43"/>
    </row>
    <row r="73" spans="1:33" s="9" customFormat="1" ht="20.149999999999999" customHeight="1">
      <c r="A73" s="135"/>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7"/>
      <c r="AC73" s="43"/>
    </row>
    <row r="74" spans="1:33" s="9" customFormat="1" ht="20.149999999999999" customHeight="1">
      <c r="A74" s="135"/>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7"/>
      <c r="AC74" s="43"/>
    </row>
    <row r="75" spans="1:33" s="9" customFormat="1" ht="20.149999999999999" customHeight="1">
      <c r="A75" s="135"/>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7"/>
      <c r="AC75" s="43"/>
    </row>
    <row r="76" spans="1:33" s="9" customFormat="1" ht="20.149999999999999" customHeight="1">
      <c r="A76" s="135"/>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7"/>
      <c r="AC76" s="43"/>
    </row>
    <row r="77" spans="1:33" s="9" customFormat="1" ht="20.149999999999999" customHeight="1">
      <c r="A77" s="135"/>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7"/>
      <c r="AC77" s="43"/>
    </row>
    <row r="78" spans="1:33" s="9" customFormat="1" ht="20.149999999999999" customHeight="1">
      <c r="A78" s="135"/>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7"/>
      <c r="AC78" s="43"/>
    </row>
    <row r="79" spans="1:33" s="9" customFormat="1" ht="20.149999999999999" customHeight="1">
      <c r="A79" s="135"/>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7"/>
      <c r="AC79" s="43"/>
    </row>
    <row r="80" spans="1:33" s="9" customFormat="1" ht="20.149999999999999" customHeight="1">
      <c r="A80" s="135"/>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7"/>
      <c r="AC80" s="43"/>
    </row>
    <row r="81" spans="1:29" s="9" customFormat="1" ht="20.149999999999999" customHeight="1">
      <c r="A81" s="135"/>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7"/>
      <c r="AC81" s="43"/>
    </row>
    <row r="82" spans="1:29" s="9" customFormat="1" ht="20.149999999999999" customHeight="1">
      <c r="A82" s="135"/>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7"/>
      <c r="AC82" s="43"/>
    </row>
    <row r="83" spans="1:29" s="9" customFormat="1" ht="20.149999999999999" customHeight="1">
      <c r="A83" s="135"/>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7"/>
      <c r="AC83" s="43"/>
    </row>
    <row r="84" spans="1:29" s="9" customFormat="1" ht="20.149999999999999" customHeight="1">
      <c r="A84" s="135"/>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7"/>
      <c r="AC84" s="43"/>
    </row>
    <row r="85" spans="1:29" s="9" customFormat="1" ht="20.149999999999999"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7"/>
      <c r="AC85" s="43"/>
    </row>
    <row r="86" spans="1:29" s="9" customFormat="1" ht="20.149999999999999" customHeight="1">
      <c r="A86" s="135"/>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7"/>
      <c r="AC86" s="43"/>
    </row>
    <row r="87" spans="1:29" s="9" customFormat="1" ht="20.149999999999999" customHeight="1">
      <c r="A87" s="135"/>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7"/>
      <c r="AC87" s="43"/>
    </row>
    <row r="88" spans="1:29" s="9" customFormat="1" ht="20.149999999999999" customHeight="1">
      <c r="A88" s="135"/>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7"/>
      <c r="AC88" s="43"/>
    </row>
    <row r="89" spans="1:29" s="9" customFormat="1" ht="20.149999999999999" customHeight="1">
      <c r="A89" s="135"/>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7"/>
      <c r="AC89" s="43"/>
    </row>
    <row r="90" spans="1:29" s="9" customFormat="1" ht="20.149999999999999" customHeight="1">
      <c r="A90" s="135"/>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7"/>
      <c r="AC90" s="43"/>
    </row>
    <row r="91" spans="1:29" s="9" customFormat="1" ht="20.149999999999999" customHeight="1">
      <c r="A91" s="135"/>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7"/>
      <c r="AC91" s="43"/>
    </row>
    <row r="92" spans="1:29" s="9" customFormat="1" ht="20.149999999999999" customHeight="1">
      <c r="A92" s="135"/>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7"/>
      <c r="AC92" s="43"/>
    </row>
    <row r="93" spans="1:29" s="9" customFormat="1" ht="20.149999999999999" customHeight="1">
      <c r="A93" s="135"/>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7"/>
      <c r="AC93" s="43"/>
    </row>
    <row r="94" spans="1:29" s="9" customFormat="1" ht="20.149999999999999" customHeight="1">
      <c r="A94" s="135"/>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7"/>
      <c r="AC94" s="43"/>
    </row>
    <row r="95" spans="1:29" s="9" customFormat="1" ht="20.149999999999999" customHeight="1">
      <c r="A95" s="135"/>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7"/>
      <c r="AC95" s="43"/>
    </row>
    <row r="96" spans="1:29" s="9" customFormat="1" ht="20.149999999999999" customHeight="1" thickBot="1">
      <c r="A96" s="196" t="s">
        <v>133</v>
      </c>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8"/>
      <c r="AC96" s="43"/>
    </row>
  </sheetData>
  <sheetProtection algorithmName="SHA-512" hashValue="LKW0CwfopKeL766KtMu1t1geZU8EwnJdp/ZOxCTG40ZOSbcGkt0lKVoPJdXj11AceISUr2HCMr9uJe5JSKlqLQ==" saltValue="RAHuNP0tVxbZWP3CXjPW3Q==" spinCount="100000" sheet="1" objects="1" scenarios="1"/>
  <mergeCells count="152">
    <mergeCell ref="A16:AB16"/>
    <mergeCell ref="A28:AB28"/>
    <mergeCell ref="A35:AB35"/>
    <mergeCell ref="X46:AB46"/>
    <mergeCell ref="E23:G23"/>
    <mergeCell ref="E24:G24"/>
    <mergeCell ref="H24:AB24"/>
    <mergeCell ref="H23:I23"/>
    <mergeCell ref="X45:AB45"/>
    <mergeCell ref="Q45:U45"/>
    <mergeCell ref="V45:W45"/>
    <mergeCell ref="O31:R31"/>
    <mergeCell ref="E25:G25"/>
    <mergeCell ref="H25:L25"/>
    <mergeCell ref="M25:O25"/>
    <mergeCell ref="E31:N31"/>
    <mergeCell ref="A32:D32"/>
    <mergeCell ref="E32:W32"/>
    <mergeCell ref="A40:AB40"/>
    <mergeCell ref="Q37:S37"/>
    <mergeCell ref="Q42:U42"/>
    <mergeCell ref="V42:W42"/>
    <mergeCell ref="Q43:U43"/>
    <mergeCell ref="E37:G37"/>
    <mergeCell ref="O38:R38"/>
    <mergeCell ref="S38:AB38"/>
    <mergeCell ref="A39:D39"/>
    <mergeCell ref="H36:P36"/>
    <mergeCell ref="Q44:U44"/>
    <mergeCell ref="E48:H48"/>
    <mergeCell ref="Q46:U46"/>
    <mergeCell ref="E39:W39"/>
    <mergeCell ref="A38:D38"/>
    <mergeCell ref="E38:N38"/>
    <mergeCell ref="E36:G36"/>
    <mergeCell ref="H37:P37"/>
    <mergeCell ref="Q36:S36"/>
    <mergeCell ref="T36:AB36"/>
    <mergeCell ref="A36:D37"/>
    <mergeCell ref="V44:W44"/>
    <mergeCell ref="X44:AB44"/>
    <mergeCell ref="A41:D44"/>
    <mergeCell ref="Q41:U41"/>
    <mergeCell ref="V41:W41"/>
    <mergeCell ref="X41:AB43"/>
    <mergeCell ref="V43:W43"/>
    <mergeCell ref="A62:AB62"/>
    <mergeCell ref="Z47:AB47"/>
    <mergeCell ref="A52:AB52"/>
    <mergeCell ref="A53:N53"/>
    <mergeCell ref="P53:U53"/>
    <mergeCell ref="W53:AB53"/>
    <mergeCell ref="A54:AB54"/>
    <mergeCell ref="A55:D55"/>
    <mergeCell ref="M55:P55"/>
    <mergeCell ref="A57:AB57"/>
    <mergeCell ref="V48:AB51"/>
    <mergeCell ref="E49:H49"/>
    <mergeCell ref="A50:H50"/>
    <mergeCell ref="A56:D56"/>
    <mergeCell ref="Y58:AB58"/>
    <mergeCell ref="A58:C58"/>
    <mergeCell ref="D61:X61"/>
    <mergeCell ref="Y59:AB61"/>
    <mergeCell ref="A51:H51"/>
    <mergeCell ref="A48:D49"/>
    <mergeCell ref="P65:R65"/>
    <mergeCell ref="Z1:AB1"/>
    <mergeCell ref="G11:AB12"/>
    <mergeCell ref="A23:D25"/>
    <mergeCell ref="T30:AB30"/>
    <mergeCell ref="A2:G2"/>
    <mergeCell ref="H2:U2"/>
    <mergeCell ref="X2:AB2"/>
    <mergeCell ref="A3:AB3"/>
    <mergeCell ref="A4:AB4"/>
    <mergeCell ref="A19:AB19"/>
    <mergeCell ref="Q20:S20"/>
    <mergeCell ref="E29:G29"/>
    <mergeCell ref="H29:P29"/>
    <mergeCell ref="T37:AB37"/>
    <mergeCell ref="A31:D31"/>
    <mergeCell ref="D58:X58"/>
    <mergeCell ref="A59:C61"/>
    <mergeCell ref="I48:T48"/>
    <mergeCell ref="I49:T49"/>
    <mergeCell ref="I50:T50"/>
    <mergeCell ref="I51:T51"/>
    <mergeCell ref="A27:D27"/>
    <mergeCell ref="P25:T25"/>
    <mergeCell ref="H30:P30"/>
    <mergeCell ref="Q30:S30"/>
    <mergeCell ref="Z26:AA26"/>
    <mergeCell ref="Q29:S29"/>
    <mergeCell ref="T29:AB29"/>
    <mergeCell ref="A29:D30"/>
    <mergeCell ref="E27:Q27"/>
    <mergeCell ref="A26:D26"/>
    <mergeCell ref="F26:G26"/>
    <mergeCell ref="K26:M26"/>
    <mergeCell ref="N26:P26"/>
    <mergeCell ref="R26:T26"/>
    <mergeCell ref="U26:V26"/>
    <mergeCell ref="X26:Y26"/>
    <mergeCell ref="A96:AB96"/>
    <mergeCell ref="A47:Y47"/>
    <mergeCell ref="E42:G42"/>
    <mergeCell ref="E43:G43"/>
    <mergeCell ref="E44:G44"/>
    <mergeCell ref="E45:G45"/>
    <mergeCell ref="H41:P41"/>
    <mergeCell ref="H42:P42"/>
    <mergeCell ref="H43:P43"/>
    <mergeCell ref="H44:P44"/>
    <mergeCell ref="D59:M60"/>
    <mergeCell ref="N59:X60"/>
    <mergeCell ref="R63:T63"/>
    <mergeCell ref="R64:T64"/>
    <mergeCell ref="U63:AB63"/>
    <mergeCell ref="U64:AB64"/>
    <mergeCell ref="A63:E65"/>
    <mergeCell ref="F65:H65"/>
    <mergeCell ref="F64:H64"/>
    <mergeCell ref="F63:H63"/>
    <mergeCell ref="S65:AB65"/>
    <mergeCell ref="I65:O65"/>
    <mergeCell ref="I64:Q64"/>
    <mergeCell ref="I63:Q63"/>
    <mergeCell ref="A5:AB5"/>
    <mergeCell ref="A1:G1"/>
    <mergeCell ref="A67:AB95"/>
    <mergeCell ref="J23:AB23"/>
    <mergeCell ref="E20:F20"/>
    <mergeCell ref="G20:P20"/>
    <mergeCell ref="S27:AB27"/>
    <mergeCell ref="T20:AB20"/>
    <mergeCell ref="A45:D45"/>
    <mergeCell ref="H45:P45"/>
    <mergeCell ref="E41:G41"/>
    <mergeCell ref="A20:D22"/>
    <mergeCell ref="E21:P22"/>
    <mergeCell ref="Q21:AB22"/>
    <mergeCell ref="A66:X66"/>
    <mergeCell ref="Z66:AB66"/>
    <mergeCell ref="A33:AB34"/>
    <mergeCell ref="X32:AB32"/>
    <mergeCell ref="X39:AB39"/>
    <mergeCell ref="A46:P46"/>
    <mergeCell ref="S31:AB31"/>
    <mergeCell ref="V25:X25"/>
    <mergeCell ref="Z25:AB25"/>
    <mergeCell ref="E30:G30"/>
  </mergeCells>
  <phoneticPr fontId="2"/>
  <dataValidations count="1">
    <dataValidation type="custom" allowBlank="1" showInputMessage="1" showErrorMessage="1" error="最大利用額（全サービス合計金額）は、平均利用合計金額以上の金額でご入力お願いします。" sqref="Q45:U45" xr:uid="{9DD9B03A-B7D5-4BFE-81C0-F66A847103F1}">
      <formula1>Q45&gt;X44</formula1>
    </dataValidation>
  </dataValidations>
  <hyperlinks>
    <hyperlink ref="AG2" r:id="rId1" xr:uid="{AD701FB3-CB1A-48FD-A54C-7BD75A737F57}"/>
    <hyperlink ref="AG3" r:id="rId2" xr:uid="{0E3053EA-FCF3-42DE-A5C0-06B457A6882E}"/>
    <hyperlink ref="AG4" r:id="rId3" xr:uid="{1B70971F-6407-4D38-82A9-329257B05402}"/>
  </hyperlinks>
  <printOptions horizontalCentered="1" verticalCentered="1"/>
  <pageMargins left="0.19685039370078741" right="0.19685039370078741" top="0.19685039370078741" bottom="0.19685039370078741" header="0.31496062992125984" footer="0.31496062992125984"/>
  <pageSetup paperSize="9" scale="83" fitToHeight="2" orientation="portrait" r:id="rId4"/>
  <rowBreaks count="1" manualBreakCount="1">
    <brk id="46" max="27" man="1"/>
  </rowBreaks>
  <colBreaks count="1" manualBreakCount="1">
    <brk id="28" max="94" man="1"/>
  </colBreaks>
  <customProperties>
    <customPr name="ORB_SHEETNAME" r:id="rId5"/>
    <customPr name="RB_CASE" r:id="rId6"/>
    <customPr name="RB_COMPANY" r:id="rId7"/>
    <customPr name="RB_DECIMAL_SEPARATOR" r:id="rId8"/>
    <customPr name="RB_PATH_SEPARATOR" r:id="rId9"/>
    <customPr name="RB_THOUSAND_SEPARATOR" r:id="rId10"/>
    <customPr name="RB_WORKBOOK_DATARECENCY_CURRENT" r:id="rId11"/>
    <customPr name="RB_WORKBOOK_VERSION" r:id="rId12"/>
  </customProperties>
  <drawing r:id="rId13"/>
  <legacyDrawing r:id="rId14"/>
  <mc:AlternateContent xmlns:mc="http://schemas.openxmlformats.org/markup-compatibility/2006">
    <mc:Choice Requires="x14">
      <controls>
        <mc:AlternateContent xmlns:mc="http://schemas.openxmlformats.org/markup-compatibility/2006">
          <mc:Choice Requires="x14">
            <control shapeId="3091" r:id="rId15" name="Check Box 19">
              <controlPr defaultSize="0" autoFill="0" autoLine="0" autoPict="0">
                <anchor moveWithCells="1">
                  <from>
                    <xdr:col>14</xdr:col>
                    <xdr:colOff>69850</xdr:colOff>
                    <xdr:row>52</xdr:row>
                    <xdr:rowOff>12700</xdr:rowOff>
                  </from>
                  <to>
                    <xdr:col>15</xdr:col>
                    <xdr:colOff>76200</xdr:colOff>
                    <xdr:row>53</xdr:row>
                    <xdr:rowOff>38100</xdr:rowOff>
                  </to>
                </anchor>
              </controlPr>
            </control>
          </mc:Choice>
        </mc:AlternateContent>
        <mc:AlternateContent xmlns:mc="http://schemas.openxmlformats.org/markup-compatibility/2006">
          <mc:Choice Requires="x14">
            <control shapeId="3092" r:id="rId16" name="Check Box 20">
              <controlPr defaultSize="0" autoFill="0" autoLine="0" autoPict="0">
                <anchor moveWithCells="1">
                  <from>
                    <xdr:col>21</xdr:col>
                    <xdr:colOff>69850</xdr:colOff>
                    <xdr:row>52</xdr:row>
                    <xdr:rowOff>12700</xdr:rowOff>
                  </from>
                  <to>
                    <xdr:col>22</xdr:col>
                    <xdr:colOff>76200</xdr:colOff>
                    <xdr:row>53</xdr:row>
                    <xdr:rowOff>38100</xdr:rowOff>
                  </to>
                </anchor>
              </controlPr>
            </control>
          </mc:Choice>
        </mc:AlternateContent>
        <mc:AlternateContent xmlns:mc="http://schemas.openxmlformats.org/markup-compatibility/2006">
          <mc:Choice Requires="x14">
            <control shapeId="3135" r:id="rId17" name="Check Box 63">
              <controlPr defaultSize="0" autoFill="0" autoLine="0" autoPict="0">
                <anchor moveWithCells="1">
                  <from>
                    <xdr:col>4</xdr:col>
                    <xdr:colOff>63500</xdr:colOff>
                    <xdr:row>54</xdr:row>
                    <xdr:rowOff>38100</xdr:rowOff>
                  </from>
                  <to>
                    <xdr:col>5</xdr:col>
                    <xdr:colOff>69850</xdr:colOff>
                    <xdr:row>55</xdr:row>
                    <xdr:rowOff>25400</xdr:rowOff>
                  </to>
                </anchor>
              </controlPr>
            </control>
          </mc:Choice>
        </mc:AlternateContent>
        <mc:AlternateContent xmlns:mc="http://schemas.openxmlformats.org/markup-compatibility/2006">
          <mc:Choice Requires="x14">
            <control shapeId="3136" r:id="rId18" name="Check Box 64">
              <controlPr defaultSize="0" autoFill="0" autoLine="0" autoPict="0">
                <anchor moveWithCells="1">
                  <from>
                    <xdr:col>8</xdr:col>
                    <xdr:colOff>63500</xdr:colOff>
                    <xdr:row>54</xdr:row>
                    <xdr:rowOff>38100</xdr:rowOff>
                  </from>
                  <to>
                    <xdr:col>9</xdr:col>
                    <xdr:colOff>69850</xdr:colOff>
                    <xdr:row>55</xdr:row>
                    <xdr:rowOff>25400</xdr:rowOff>
                  </to>
                </anchor>
              </controlPr>
            </control>
          </mc:Choice>
        </mc:AlternateContent>
        <mc:AlternateContent xmlns:mc="http://schemas.openxmlformats.org/markup-compatibility/2006">
          <mc:Choice Requires="x14">
            <control shapeId="3137" r:id="rId19" name="Check Box 65">
              <controlPr defaultSize="0" autoFill="0" autoLine="0" autoPict="0">
                <anchor moveWithCells="1">
                  <from>
                    <xdr:col>16</xdr:col>
                    <xdr:colOff>63500</xdr:colOff>
                    <xdr:row>54</xdr:row>
                    <xdr:rowOff>31750</xdr:rowOff>
                  </from>
                  <to>
                    <xdr:col>17</xdr:col>
                    <xdr:colOff>69850</xdr:colOff>
                    <xdr:row>55</xdr:row>
                    <xdr:rowOff>25400</xdr:rowOff>
                  </to>
                </anchor>
              </controlPr>
            </control>
          </mc:Choice>
        </mc:AlternateContent>
        <mc:AlternateContent xmlns:mc="http://schemas.openxmlformats.org/markup-compatibility/2006">
          <mc:Choice Requires="x14">
            <control shapeId="3139" r:id="rId20" name="Check Box 67">
              <controlPr defaultSize="0" autoFill="0" autoLine="0" autoPict="0">
                <anchor moveWithCells="1">
                  <from>
                    <xdr:col>4</xdr:col>
                    <xdr:colOff>63500</xdr:colOff>
                    <xdr:row>55</xdr:row>
                    <xdr:rowOff>31750</xdr:rowOff>
                  </from>
                  <to>
                    <xdr:col>5</xdr:col>
                    <xdr:colOff>69850</xdr:colOff>
                    <xdr:row>56</xdr:row>
                    <xdr:rowOff>38100</xdr:rowOff>
                  </to>
                </anchor>
              </controlPr>
            </control>
          </mc:Choice>
        </mc:AlternateContent>
        <mc:AlternateContent xmlns:mc="http://schemas.openxmlformats.org/markup-compatibility/2006">
          <mc:Choice Requires="x14">
            <control shapeId="3141" r:id="rId21" name="Check Box 69">
              <controlPr defaultSize="0" autoFill="0" autoLine="0" autoPict="0">
                <anchor moveWithCells="1">
                  <from>
                    <xdr:col>7</xdr:col>
                    <xdr:colOff>76200</xdr:colOff>
                    <xdr:row>55</xdr:row>
                    <xdr:rowOff>31750</xdr:rowOff>
                  </from>
                  <to>
                    <xdr:col>8</xdr:col>
                    <xdr:colOff>88900</xdr:colOff>
                    <xdr:row>56</xdr:row>
                    <xdr:rowOff>38100</xdr:rowOff>
                  </to>
                </anchor>
              </controlPr>
            </control>
          </mc:Choice>
        </mc:AlternateContent>
        <mc:AlternateContent xmlns:mc="http://schemas.openxmlformats.org/markup-compatibility/2006">
          <mc:Choice Requires="x14">
            <control shapeId="3142" r:id="rId22" name="Check Box 70">
              <controlPr defaultSize="0" autoFill="0" autoLine="0" autoPict="0">
                <anchor moveWithCells="1">
                  <from>
                    <xdr:col>10</xdr:col>
                    <xdr:colOff>69850</xdr:colOff>
                    <xdr:row>55</xdr:row>
                    <xdr:rowOff>63500</xdr:rowOff>
                  </from>
                  <to>
                    <xdr:col>11</xdr:col>
                    <xdr:colOff>0</xdr:colOff>
                    <xdr:row>56</xdr:row>
                    <xdr:rowOff>12700</xdr:rowOff>
                  </to>
                </anchor>
              </controlPr>
            </control>
          </mc:Choice>
        </mc:AlternateContent>
        <mc:AlternateContent xmlns:mc="http://schemas.openxmlformats.org/markup-compatibility/2006">
          <mc:Choice Requires="x14">
            <control shapeId="3143" r:id="rId23" name="Check Box 71">
              <controlPr defaultSize="0" autoFill="0" autoLine="0" autoPict="0">
                <anchor moveWithCells="1">
                  <from>
                    <xdr:col>13</xdr:col>
                    <xdr:colOff>38100</xdr:colOff>
                    <xdr:row>55</xdr:row>
                    <xdr:rowOff>31750</xdr:rowOff>
                  </from>
                  <to>
                    <xdr:col>14</xdr:col>
                    <xdr:colOff>50800</xdr:colOff>
                    <xdr:row>56</xdr:row>
                    <xdr:rowOff>38100</xdr:rowOff>
                  </to>
                </anchor>
              </controlPr>
            </control>
          </mc:Choice>
        </mc:AlternateContent>
        <mc:AlternateContent xmlns:mc="http://schemas.openxmlformats.org/markup-compatibility/2006">
          <mc:Choice Requires="x14">
            <control shapeId="3144" r:id="rId24" name="Check Box 72">
              <controlPr defaultSize="0" autoFill="0" autoLine="0" autoPict="0">
                <anchor moveWithCells="1">
                  <from>
                    <xdr:col>19</xdr:col>
                    <xdr:colOff>69850</xdr:colOff>
                    <xdr:row>55</xdr:row>
                    <xdr:rowOff>38100</xdr:rowOff>
                  </from>
                  <to>
                    <xdr:col>20</xdr:col>
                    <xdr:colOff>12700</xdr:colOff>
                    <xdr:row>56</xdr:row>
                    <xdr:rowOff>12700</xdr:rowOff>
                  </to>
                </anchor>
              </controlPr>
            </control>
          </mc:Choice>
        </mc:AlternateContent>
        <mc:AlternateContent xmlns:mc="http://schemas.openxmlformats.org/markup-compatibility/2006">
          <mc:Choice Requires="x14">
            <control shapeId="3146" r:id="rId25" name="Check Box 74">
              <controlPr defaultSize="0" autoFill="0" autoLine="0" autoPict="0">
                <anchor moveWithCells="1">
                  <from>
                    <xdr:col>22</xdr:col>
                    <xdr:colOff>38100</xdr:colOff>
                    <xdr:row>55</xdr:row>
                    <xdr:rowOff>38100</xdr:rowOff>
                  </from>
                  <to>
                    <xdr:col>23</xdr:col>
                    <xdr:colOff>50800</xdr:colOff>
                    <xdr:row>56</xdr:row>
                    <xdr:rowOff>38100</xdr:rowOff>
                  </to>
                </anchor>
              </controlPr>
            </control>
          </mc:Choice>
        </mc:AlternateContent>
        <mc:AlternateContent xmlns:mc="http://schemas.openxmlformats.org/markup-compatibility/2006">
          <mc:Choice Requires="x14">
            <control shapeId="3156" r:id="rId26" name="Check Box 84">
              <controlPr defaultSize="0" autoFill="0" autoLine="0" autoPict="0">
                <anchor moveWithCells="1">
                  <from>
                    <xdr:col>16</xdr:col>
                    <xdr:colOff>38100</xdr:colOff>
                    <xdr:row>55</xdr:row>
                    <xdr:rowOff>38100</xdr:rowOff>
                  </from>
                  <to>
                    <xdr:col>16</xdr:col>
                    <xdr:colOff>260350</xdr:colOff>
                    <xdr:row>56</xdr:row>
                    <xdr:rowOff>12700</xdr:rowOff>
                  </to>
                </anchor>
              </controlPr>
            </control>
          </mc:Choice>
        </mc:AlternateContent>
        <mc:AlternateContent xmlns:mc="http://schemas.openxmlformats.org/markup-compatibility/2006">
          <mc:Choice Requires="x14">
            <control shapeId="3159" r:id="rId27" name="Check Box 87">
              <controlPr defaultSize="0" autoFill="0" autoLine="0" autoPict="0">
                <anchor moveWithCells="1">
                  <from>
                    <xdr:col>0</xdr:col>
                    <xdr:colOff>38100</xdr:colOff>
                    <xdr:row>63</xdr:row>
                    <xdr:rowOff>184150</xdr:rowOff>
                  </from>
                  <to>
                    <xdr:col>1</xdr:col>
                    <xdr:colOff>69850</xdr:colOff>
                    <xdr:row>64</xdr:row>
                    <xdr:rowOff>184150</xdr:rowOff>
                  </to>
                </anchor>
              </controlPr>
            </control>
          </mc:Choice>
        </mc:AlternateContent>
        <mc:AlternateContent xmlns:mc="http://schemas.openxmlformats.org/markup-compatibility/2006">
          <mc:Choice Requires="x14">
            <control shapeId="3160" r:id="rId28" name="Check Box 88">
              <controlPr defaultSize="0" autoFill="0" autoLine="0" autoPict="0">
                <anchor moveWithCells="1">
                  <from>
                    <xdr:col>0</xdr:col>
                    <xdr:colOff>38100</xdr:colOff>
                    <xdr:row>63</xdr:row>
                    <xdr:rowOff>0</xdr:rowOff>
                  </from>
                  <to>
                    <xdr:col>1</xdr:col>
                    <xdr:colOff>69850</xdr:colOff>
                    <xdr:row>64</xdr:row>
                    <xdr:rowOff>12700</xdr:rowOff>
                  </to>
                </anchor>
              </controlPr>
            </control>
          </mc:Choice>
        </mc:AlternateContent>
        <mc:AlternateContent xmlns:mc="http://schemas.openxmlformats.org/markup-compatibility/2006">
          <mc:Choice Requires="x14">
            <control shapeId="3161" r:id="rId29" name="Check Box 89">
              <controlPr defaultSize="0" autoFill="0" autoLine="0" autoPict="0">
                <anchor moveWithCells="1">
                  <from>
                    <xdr:col>25</xdr:col>
                    <xdr:colOff>38100</xdr:colOff>
                    <xdr:row>55</xdr:row>
                    <xdr:rowOff>38100</xdr:rowOff>
                  </from>
                  <to>
                    <xdr:col>26</xdr:col>
                    <xdr:colOff>50800</xdr:colOff>
                    <xdr:row>56</xdr:row>
                    <xdr:rowOff>38100</xdr:rowOff>
                  </to>
                </anchor>
              </controlPr>
            </control>
          </mc:Choice>
        </mc:AlternateContent>
        <mc:AlternateContent xmlns:mc="http://schemas.openxmlformats.org/markup-compatibility/2006">
          <mc:Choice Requires="x14">
            <control shapeId="3157" r:id="rId30" name="Check Box 85">
              <controlPr defaultSize="0" autoFill="0" autoLine="0" autoPict="0">
                <anchor moveWithCells="1">
                  <from>
                    <xdr:col>24</xdr:col>
                    <xdr:colOff>88900</xdr:colOff>
                    <xdr:row>58</xdr:row>
                    <xdr:rowOff>254000</xdr:rowOff>
                  </from>
                  <to>
                    <xdr:col>25</xdr:col>
                    <xdr:colOff>114300</xdr:colOff>
                    <xdr:row>59</xdr:row>
                    <xdr:rowOff>241300</xdr:rowOff>
                  </to>
                </anchor>
              </controlPr>
            </control>
          </mc:Choice>
        </mc:AlternateContent>
        <mc:AlternateContent xmlns:mc="http://schemas.openxmlformats.org/markup-compatibility/2006">
          <mc:Choice Requires="x14">
            <control shapeId="3138" r:id="rId31" name="Check Box 66">
              <controlPr defaultSize="0" autoFill="0" autoLine="0" autoPict="0">
                <anchor moveWithCells="1">
                  <from>
                    <xdr:col>21</xdr:col>
                    <xdr:colOff>69850</xdr:colOff>
                    <xdr:row>54</xdr:row>
                    <xdr:rowOff>38100</xdr:rowOff>
                  </from>
                  <to>
                    <xdr:col>22</xdr:col>
                    <xdr:colOff>76200</xdr:colOff>
                    <xdr:row>55</xdr:row>
                    <xdr:rowOff>25400</xdr:rowOff>
                  </to>
                </anchor>
              </controlPr>
            </control>
          </mc:Choice>
        </mc:AlternateContent>
        <mc:AlternateContent xmlns:mc="http://schemas.openxmlformats.org/markup-compatibility/2006">
          <mc:Choice Requires="x14">
            <control shapeId="3093" r:id="rId32" name="Check Box 21">
              <controlPr defaultSize="0" autoFill="0" autoLine="0" autoPict="0">
                <anchor moveWithCells="1">
                  <from>
                    <xdr:col>24</xdr:col>
                    <xdr:colOff>76200</xdr:colOff>
                    <xdr:row>57</xdr:row>
                    <xdr:rowOff>25400</xdr:rowOff>
                  </from>
                  <to>
                    <xdr:col>25</xdr:col>
                    <xdr:colOff>107950</xdr:colOff>
                    <xdr:row>58</xdr:row>
                    <xdr:rowOff>12700</xdr:rowOff>
                  </to>
                </anchor>
              </controlPr>
            </control>
          </mc:Choice>
        </mc:AlternateContent>
        <mc:AlternateContent xmlns:mc="http://schemas.openxmlformats.org/markup-compatibility/2006">
          <mc:Choice Requires="x14">
            <control shapeId="3073" r:id="rId33" name="Check Box 1">
              <controlPr defaultSize="0" autoFill="0" autoLine="0" autoPict="0">
                <anchor moveWithCells="1">
                  <from>
                    <xdr:col>0</xdr:col>
                    <xdr:colOff>38100</xdr:colOff>
                    <xdr:row>5</xdr:row>
                    <xdr:rowOff>12700</xdr:rowOff>
                  </from>
                  <to>
                    <xdr:col>1</xdr:col>
                    <xdr:colOff>38100</xdr:colOff>
                    <xdr:row>6</xdr:row>
                    <xdr:rowOff>38100</xdr:rowOff>
                  </to>
                </anchor>
              </controlPr>
            </control>
          </mc:Choice>
        </mc:AlternateContent>
        <mc:AlternateContent xmlns:mc="http://schemas.openxmlformats.org/markup-compatibility/2006">
          <mc:Choice Requires="x14">
            <control shapeId="3094" r:id="rId34" name="Check Box 22">
              <controlPr defaultSize="0" autoFill="0" autoLine="0" autoPict="0">
                <anchor moveWithCells="1">
                  <from>
                    <xdr:col>14</xdr:col>
                    <xdr:colOff>38100</xdr:colOff>
                    <xdr:row>5</xdr:row>
                    <xdr:rowOff>0</xdr:rowOff>
                  </from>
                  <to>
                    <xdr:col>15</xdr:col>
                    <xdr:colOff>0</xdr:colOff>
                    <xdr:row>6</xdr:row>
                    <xdr:rowOff>12700</xdr:rowOff>
                  </to>
                </anchor>
              </controlPr>
            </control>
          </mc:Choice>
        </mc:AlternateContent>
        <mc:AlternateContent xmlns:mc="http://schemas.openxmlformats.org/markup-compatibility/2006">
          <mc:Choice Requires="x14">
            <control shapeId="3095" r:id="rId35" name="Check Box 23">
              <controlPr defaultSize="0" autoFill="0" autoLine="0" autoPict="0">
                <anchor moveWithCells="1">
                  <from>
                    <xdr:col>1</xdr:col>
                    <xdr:colOff>38100</xdr:colOff>
                    <xdr:row>7</xdr:row>
                    <xdr:rowOff>12700</xdr:rowOff>
                  </from>
                  <to>
                    <xdr:col>2</xdr:col>
                    <xdr:colOff>38100</xdr:colOff>
                    <xdr:row>8</xdr:row>
                    <xdr:rowOff>12700</xdr:rowOff>
                  </to>
                </anchor>
              </controlPr>
            </control>
          </mc:Choice>
        </mc:AlternateContent>
        <mc:AlternateContent xmlns:mc="http://schemas.openxmlformats.org/markup-compatibility/2006">
          <mc:Choice Requires="x14">
            <control shapeId="3096" r:id="rId36" name="Check Box 24">
              <controlPr defaultSize="0" autoFill="0" autoLine="0" autoPict="0">
                <anchor moveWithCells="1">
                  <from>
                    <xdr:col>1</xdr:col>
                    <xdr:colOff>38100</xdr:colOff>
                    <xdr:row>10</xdr:row>
                    <xdr:rowOff>0</xdr:rowOff>
                  </from>
                  <to>
                    <xdr:col>2</xdr:col>
                    <xdr:colOff>38100</xdr:colOff>
                    <xdr:row>11</xdr:row>
                    <xdr:rowOff>0</xdr:rowOff>
                  </to>
                </anchor>
              </controlPr>
            </control>
          </mc:Choice>
        </mc:AlternateContent>
        <mc:AlternateContent xmlns:mc="http://schemas.openxmlformats.org/markup-compatibility/2006">
          <mc:Choice Requires="x14">
            <control shapeId="3098" r:id="rId37" name="Check Box 26">
              <controlPr defaultSize="0" autoFill="0" autoLine="0" autoPict="0">
                <anchor moveWithCells="1">
                  <from>
                    <xdr:col>1</xdr:col>
                    <xdr:colOff>38100</xdr:colOff>
                    <xdr:row>10</xdr:row>
                    <xdr:rowOff>215900</xdr:rowOff>
                  </from>
                  <to>
                    <xdr:col>2</xdr:col>
                    <xdr:colOff>38100</xdr:colOff>
                    <xdr:row>11</xdr:row>
                    <xdr:rowOff>228600</xdr:rowOff>
                  </to>
                </anchor>
              </controlPr>
            </control>
          </mc:Choice>
        </mc:AlternateContent>
        <mc:AlternateContent xmlns:mc="http://schemas.openxmlformats.org/markup-compatibility/2006">
          <mc:Choice Requires="x14">
            <control shapeId="3163" r:id="rId38" name="Check Box 91">
              <controlPr defaultSize="0" autoFill="0" autoLine="0" autoPict="0">
                <anchor moveWithCells="1">
                  <from>
                    <xdr:col>1</xdr:col>
                    <xdr:colOff>38100</xdr:colOff>
                    <xdr:row>7</xdr:row>
                    <xdr:rowOff>215900</xdr:rowOff>
                  </from>
                  <to>
                    <xdr:col>2</xdr:col>
                    <xdr:colOff>38100</xdr:colOff>
                    <xdr:row>8</xdr:row>
                    <xdr:rowOff>228600</xdr:rowOff>
                  </to>
                </anchor>
              </controlPr>
            </control>
          </mc:Choice>
        </mc:AlternateContent>
        <mc:AlternateContent xmlns:mc="http://schemas.openxmlformats.org/markup-compatibility/2006">
          <mc:Choice Requires="x14">
            <control shapeId="3164" r:id="rId39" name="Check Box 92">
              <controlPr defaultSize="0" autoFill="0" autoLine="0" autoPict="0">
                <anchor moveWithCells="1">
                  <from>
                    <xdr:col>2</xdr:col>
                    <xdr:colOff>127000</xdr:colOff>
                    <xdr:row>8</xdr:row>
                    <xdr:rowOff>215900</xdr:rowOff>
                  </from>
                  <to>
                    <xdr:col>3</xdr:col>
                    <xdr:colOff>107950</xdr:colOff>
                    <xdr:row>9</xdr:row>
                    <xdr:rowOff>215900</xdr:rowOff>
                  </to>
                </anchor>
              </controlPr>
            </control>
          </mc:Choice>
        </mc:AlternateContent>
        <mc:AlternateContent xmlns:mc="http://schemas.openxmlformats.org/markup-compatibility/2006">
          <mc:Choice Requires="x14">
            <control shapeId="3074" r:id="rId40" name="Check Box 2">
              <controlPr defaultSize="0" autoFill="0" autoLine="0" autoPict="0">
                <anchor moveWithCells="1">
                  <from>
                    <xdr:col>0</xdr:col>
                    <xdr:colOff>38100</xdr:colOff>
                    <xdr:row>16</xdr:row>
                    <xdr:rowOff>0</xdr:rowOff>
                  </from>
                  <to>
                    <xdr:col>1</xdr:col>
                    <xdr:colOff>38100</xdr:colOff>
                    <xdr:row>17</xdr:row>
                    <xdr:rowOff>12700</xdr:rowOff>
                  </to>
                </anchor>
              </controlPr>
            </control>
          </mc:Choice>
        </mc:AlternateContent>
        <mc:AlternateContent xmlns:mc="http://schemas.openxmlformats.org/markup-compatibility/2006">
          <mc:Choice Requires="x14">
            <control shapeId="3075" r:id="rId41" name="Check Box 3">
              <controlPr defaultSize="0" autoFill="0" autoLine="0" autoPict="0">
                <anchor moveWithCells="1">
                  <from>
                    <xdr:col>20</xdr:col>
                    <xdr:colOff>38100</xdr:colOff>
                    <xdr:row>24</xdr:row>
                    <xdr:rowOff>12700</xdr:rowOff>
                  </from>
                  <to>
                    <xdr:col>21</xdr:col>
                    <xdr:colOff>0</xdr:colOff>
                    <xdr:row>25</xdr:row>
                    <xdr:rowOff>12700</xdr:rowOff>
                  </to>
                </anchor>
              </controlPr>
            </control>
          </mc:Choice>
        </mc:AlternateContent>
        <mc:AlternateContent xmlns:mc="http://schemas.openxmlformats.org/markup-compatibility/2006">
          <mc:Choice Requires="x14">
            <control shapeId="3076" r:id="rId42" name="Check Box 4">
              <controlPr defaultSize="0" autoFill="0" autoLine="0" autoPict="0">
                <anchor moveWithCells="1">
                  <from>
                    <xdr:col>24</xdr:col>
                    <xdr:colOff>25400</xdr:colOff>
                    <xdr:row>24</xdr:row>
                    <xdr:rowOff>12700</xdr:rowOff>
                  </from>
                  <to>
                    <xdr:col>25</xdr:col>
                    <xdr:colOff>0</xdr:colOff>
                    <xdr:row>25</xdr:row>
                    <xdr:rowOff>12700</xdr:rowOff>
                  </to>
                </anchor>
              </controlPr>
            </control>
          </mc:Choice>
        </mc:AlternateContent>
        <mc:AlternateContent xmlns:mc="http://schemas.openxmlformats.org/markup-compatibility/2006">
          <mc:Choice Requires="x14">
            <control shapeId="3078" r:id="rId43" name="Check Box 6">
              <controlPr defaultSize="0" autoFill="0" autoLine="0" autoPict="0">
                <anchor moveWithCells="1">
                  <from>
                    <xdr:col>5</xdr:col>
                    <xdr:colOff>38100</xdr:colOff>
                    <xdr:row>16</xdr:row>
                    <xdr:rowOff>0</xdr:rowOff>
                  </from>
                  <to>
                    <xdr:col>6</xdr:col>
                    <xdr:colOff>0</xdr:colOff>
                    <xdr:row>17</xdr:row>
                    <xdr:rowOff>12700</xdr:rowOff>
                  </to>
                </anchor>
              </controlPr>
            </control>
          </mc:Choice>
        </mc:AlternateContent>
        <mc:AlternateContent xmlns:mc="http://schemas.openxmlformats.org/markup-compatibility/2006">
          <mc:Choice Requires="x14">
            <control shapeId="3079" r:id="rId44" name="Check Box 7">
              <controlPr defaultSize="0" autoFill="0" autoLine="0" autoPict="0">
                <anchor moveWithCells="1">
                  <from>
                    <xdr:col>12</xdr:col>
                    <xdr:colOff>38100</xdr:colOff>
                    <xdr:row>16</xdr:row>
                    <xdr:rowOff>0</xdr:rowOff>
                  </from>
                  <to>
                    <xdr:col>13</xdr:col>
                    <xdr:colOff>0</xdr:colOff>
                    <xdr:row>17</xdr:row>
                    <xdr:rowOff>12700</xdr:rowOff>
                  </to>
                </anchor>
              </controlPr>
            </control>
          </mc:Choice>
        </mc:AlternateContent>
        <mc:AlternateContent xmlns:mc="http://schemas.openxmlformats.org/markup-compatibility/2006">
          <mc:Choice Requires="x14">
            <control shapeId="3162" r:id="rId45" name="Check Box 90">
              <controlPr defaultSize="0" autoFill="0" autoLine="0" autoPict="0">
                <anchor moveWithCells="1">
                  <from>
                    <xdr:col>17</xdr:col>
                    <xdr:colOff>63500</xdr:colOff>
                    <xdr:row>25</xdr:row>
                    <xdr:rowOff>266700</xdr:rowOff>
                  </from>
                  <to>
                    <xdr:col>18</xdr:col>
                    <xdr:colOff>12700</xdr:colOff>
                    <xdr:row>26</xdr:row>
                    <xdr:rowOff>254000</xdr:rowOff>
                  </to>
                </anchor>
              </controlPr>
            </control>
          </mc:Choice>
        </mc:AlternateContent>
        <mc:AlternateContent xmlns:mc="http://schemas.openxmlformats.org/markup-compatibility/2006">
          <mc:Choice Requires="x14">
            <control shapeId="3168" r:id="rId46" name="Check Box 96">
              <controlPr defaultSize="0" autoFill="0" autoLine="0" autoPict="0">
                <anchor moveWithCells="1">
                  <from>
                    <xdr:col>24</xdr:col>
                    <xdr:colOff>76200</xdr:colOff>
                    <xdr:row>65</xdr:row>
                    <xdr:rowOff>25400</xdr:rowOff>
                  </from>
                  <to>
                    <xdr:col>25</xdr:col>
                    <xdr:colOff>107950</xdr:colOff>
                    <xdr:row>66</xdr:row>
                    <xdr:rowOff>12700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6B33-2589-4AF5-BD36-BEDF8ADA190F}">
  <sheetPr codeName="Sheet3">
    <tabColor rgb="FFFF0000"/>
  </sheetPr>
  <dimension ref="A1:AL96"/>
  <sheetViews>
    <sheetView showGridLines="0" topLeftCell="A25" zoomScaleNormal="100" zoomScaleSheetLayoutView="115" zoomScalePageLayoutView="70" workbookViewId="0">
      <selection activeCell="V48" sqref="A1:XFD1048576"/>
    </sheetView>
  </sheetViews>
  <sheetFormatPr defaultColWidth="8.81640625" defaultRowHeight="15"/>
  <cols>
    <col min="1" max="3" width="3.54296875" style="8" customWidth="1"/>
    <col min="4" max="24" width="4" style="8" customWidth="1"/>
    <col min="25" max="25" width="3.54296875" style="8" customWidth="1"/>
    <col min="26" max="26" width="3.81640625" style="8" customWidth="1"/>
    <col min="27" max="27" width="6.1796875" style="8" customWidth="1"/>
    <col min="28" max="28" width="5.453125" style="8" customWidth="1"/>
    <col min="29" max="29" width="8.81640625" style="8"/>
    <col min="30" max="30" width="21.453125" style="8" customWidth="1"/>
    <col min="31" max="16384" width="8.81640625" style="8"/>
  </cols>
  <sheetData>
    <row r="1" spans="1:38" s="36" customFormat="1" ht="20.149999999999999" customHeight="1" thickBot="1">
      <c r="A1" s="130" t="s">
        <v>0</v>
      </c>
      <c r="B1" s="131"/>
      <c r="C1" s="131"/>
      <c r="D1" s="131"/>
      <c r="E1" s="131"/>
      <c r="F1" s="131"/>
      <c r="G1" s="131"/>
      <c r="Z1" s="256" t="s">
        <v>1</v>
      </c>
      <c r="AA1" s="256"/>
      <c r="AB1" s="257"/>
    </row>
    <row r="2" spans="1:38" ht="20.149999999999999" customHeight="1">
      <c r="A2" s="267" t="s">
        <v>2</v>
      </c>
      <c r="B2" s="268"/>
      <c r="C2" s="268"/>
      <c r="D2" s="268"/>
      <c r="E2" s="268"/>
      <c r="F2" s="268"/>
      <c r="G2" s="268"/>
      <c r="H2" s="269" t="s">
        <v>3</v>
      </c>
      <c r="I2" s="269"/>
      <c r="J2" s="269"/>
      <c r="K2" s="269"/>
      <c r="L2" s="269"/>
      <c r="M2" s="269"/>
      <c r="N2" s="269"/>
      <c r="O2" s="269"/>
      <c r="P2" s="269"/>
      <c r="Q2" s="269"/>
      <c r="R2" s="269"/>
      <c r="S2" s="269"/>
      <c r="T2" s="269"/>
      <c r="U2" s="269"/>
      <c r="V2" s="2"/>
      <c r="W2" s="2"/>
      <c r="X2" s="270"/>
      <c r="Y2" s="271"/>
      <c r="Z2" s="271"/>
      <c r="AA2" s="271"/>
      <c r="AB2" s="272"/>
      <c r="AD2" s="14" t="s">
        <v>4</v>
      </c>
      <c r="AE2" s="36"/>
      <c r="AF2" s="36"/>
      <c r="AG2" s="12" t="s">
        <v>5</v>
      </c>
      <c r="AH2" s="36"/>
      <c r="AI2" s="36"/>
      <c r="AJ2" s="36"/>
      <c r="AK2" s="36"/>
      <c r="AL2" s="37"/>
    </row>
    <row r="3" spans="1:38" ht="20.149999999999999" customHeight="1">
      <c r="A3" s="273" t="s">
        <v>6</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5"/>
      <c r="AD3" s="15" t="s">
        <v>7</v>
      </c>
      <c r="AG3" s="13" t="s">
        <v>8</v>
      </c>
      <c r="AL3" s="38"/>
    </row>
    <row r="4" spans="1:38" s="9" customFormat="1" ht="20.149999999999999" customHeight="1" thickBot="1">
      <c r="A4" s="481" t="s">
        <v>9</v>
      </c>
      <c r="B4" s="482"/>
      <c r="C4" s="482"/>
      <c r="D4" s="482"/>
      <c r="E4" s="482"/>
      <c r="F4" s="482"/>
      <c r="G4" s="482"/>
      <c r="H4" s="482"/>
      <c r="I4" s="482"/>
      <c r="J4" s="482"/>
      <c r="K4" s="482"/>
      <c r="L4" s="482"/>
      <c r="M4" s="482"/>
      <c r="N4" s="482"/>
      <c r="O4" s="482"/>
      <c r="P4" s="482"/>
      <c r="Q4" s="482"/>
      <c r="R4" s="482"/>
      <c r="S4" s="482"/>
      <c r="T4" s="482"/>
      <c r="U4" s="482"/>
      <c r="V4" s="482"/>
      <c r="W4" s="482"/>
      <c r="X4" s="482"/>
      <c r="Y4" s="482"/>
      <c r="Z4" s="482"/>
      <c r="AA4" s="482"/>
      <c r="AB4" s="483"/>
      <c r="AD4" s="16" t="s">
        <v>10</v>
      </c>
      <c r="AE4" s="39"/>
      <c r="AF4" s="39"/>
      <c r="AG4" s="40" t="s">
        <v>11</v>
      </c>
      <c r="AH4" s="39"/>
      <c r="AI4" s="39"/>
      <c r="AJ4" s="39"/>
      <c r="AK4" s="39"/>
      <c r="AL4" s="41"/>
    </row>
    <row r="5" spans="1:38" s="9" customFormat="1" ht="20.149999999999999" customHeight="1">
      <c r="A5" s="484" t="s">
        <v>12</v>
      </c>
      <c r="B5" s="485"/>
      <c r="C5" s="485"/>
      <c r="D5" s="485"/>
      <c r="E5" s="485"/>
      <c r="F5" s="485"/>
      <c r="G5" s="485"/>
      <c r="H5" s="485"/>
      <c r="I5" s="485"/>
      <c r="J5" s="485"/>
      <c r="K5" s="485"/>
      <c r="L5" s="485"/>
      <c r="M5" s="485"/>
      <c r="N5" s="485"/>
      <c r="O5" s="485"/>
      <c r="P5" s="485"/>
      <c r="Q5" s="485"/>
      <c r="R5" s="485"/>
      <c r="S5" s="485"/>
      <c r="T5" s="485"/>
      <c r="U5" s="485"/>
      <c r="V5" s="485"/>
      <c r="W5" s="485"/>
      <c r="X5" s="485"/>
      <c r="Y5" s="485"/>
      <c r="Z5" s="485"/>
      <c r="AA5" s="485"/>
      <c r="AB5" s="486"/>
    </row>
    <row r="6" spans="1:38" s="9" customFormat="1" ht="20.149999999999999" customHeight="1">
      <c r="A6" s="74"/>
      <c r="B6" s="75" t="s">
        <v>13</v>
      </c>
      <c r="C6" s="18"/>
      <c r="D6" s="18"/>
      <c r="E6" s="18"/>
      <c r="F6" s="76"/>
      <c r="G6" s="18"/>
      <c r="H6" s="18"/>
      <c r="I6" s="75"/>
      <c r="J6" s="75"/>
      <c r="K6" s="18"/>
      <c r="L6" s="18"/>
      <c r="M6" s="18"/>
      <c r="N6" s="18"/>
      <c r="O6" s="18"/>
      <c r="P6" s="75" t="s">
        <v>14</v>
      </c>
      <c r="Q6" s="18"/>
      <c r="R6" s="18"/>
      <c r="S6" s="18"/>
      <c r="T6" s="18"/>
      <c r="U6" s="18"/>
      <c r="V6" s="18"/>
      <c r="W6" s="18"/>
      <c r="X6" s="18"/>
      <c r="Y6" s="18"/>
      <c r="Z6" s="18"/>
      <c r="AA6" s="18"/>
      <c r="AB6" s="77"/>
    </row>
    <row r="7" spans="1:38" s="9" customFormat="1" ht="20.149999999999999" customHeight="1">
      <c r="A7" s="74" t="s">
        <v>15</v>
      </c>
      <c r="B7" s="18"/>
      <c r="C7" s="18"/>
      <c r="D7" s="18"/>
      <c r="E7" s="18"/>
      <c r="F7" s="18"/>
      <c r="G7" s="18"/>
      <c r="H7" s="18"/>
      <c r="I7" s="18"/>
      <c r="J7" s="18"/>
      <c r="K7" s="18"/>
      <c r="L7" s="18"/>
      <c r="M7" s="18"/>
      <c r="N7" s="18"/>
      <c r="O7" s="18" t="s">
        <v>16</v>
      </c>
      <c r="P7" s="18"/>
      <c r="Q7" s="18"/>
      <c r="R7" s="18"/>
      <c r="S7" s="18"/>
      <c r="T7" s="18"/>
      <c r="U7" s="18"/>
      <c r="V7" s="18"/>
      <c r="W7" s="18"/>
      <c r="X7" s="18"/>
      <c r="Y7" s="18"/>
      <c r="Z7" s="18"/>
      <c r="AA7" s="18"/>
      <c r="AB7" s="77"/>
    </row>
    <row r="8" spans="1:38" s="9" customFormat="1" ht="20.149999999999999" customHeight="1">
      <c r="A8" s="78"/>
      <c r="B8" s="18"/>
      <c r="C8" s="75" t="s">
        <v>17</v>
      </c>
      <c r="D8" s="75"/>
      <c r="E8" s="75"/>
      <c r="F8" s="75"/>
      <c r="G8" s="19" t="s">
        <v>18</v>
      </c>
      <c r="H8" s="75"/>
      <c r="I8" s="75"/>
      <c r="J8" s="75"/>
      <c r="K8" s="75"/>
      <c r="L8" s="75"/>
      <c r="M8" s="75"/>
      <c r="N8" s="75"/>
      <c r="O8" s="75"/>
      <c r="P8" s="75"/>
      <c r="Q8" s="75"/>
      <c r="R8" s="75"/>
      <c r="S8" s="75"/>
      <c r="T8" s="75"/>
      <c r="U8" s="75"/>
      <c r="V8" s="75"/>
      <c r="W8" s="75"/>
      <c r="X8" s="75"/>
      <c r="Y8" s="75"/>
      <c r="Z8" s="75"/>
      <c r="AA8" s="75"/>
      <c r="AB8" s="79"/>
    </row>
    <row r="9" spans="1:38" s="9" customFormat="1" ht="20.149999999999999" customHeight="1">
      <c r="A9" s="78"/>
      <c r="B9" s="18"/>
      <c r="C9" s="75" t="s">
        <v>19</v>
      </c>
      <c r="D9" s="75"/>
      <c r="E9" s="75"/>
      <c r="F9" s="75"/>
      <c r="G9" s="19" t="s">
        <v>20</v>
      </c>
      <c r="H9" s="75"/>
      <c r="I9" s="75"/>
      <c r="J9" s="75"/>
      <c r="K9" s="75"/>
      <c r="L9" s="75"/>
      <c r="M9" s="75"/>
      <c r="N9" s="75"/>
      <c r="O9" s="75"/>
      <c r="P9" s="75"/>
      <c r="Q9" s="75"/>
      <c r="R9" s="75"/>
      <c r="S9" s="75"/>
      <c r="T9" s="75"/>
      <c r="U9" s="75"/>
      <c r="V9" s="75"/>
      <c r="W9" s="75"/>
      <c r="X9" s="75"/>
      <c r="Y9" s="75"/>
      <c r="Z9" s="75"/>
      <c r="AA9" s="75"/>
      <c r="AB9" s="79"/>
    </row>
    <row r="10" spans="1:38" s="9" customFormat="1" ht="20.149999999999999" customHeight="1">
      <c r="A10" s="78"/>
      <c r="B10" s="18"/>
      <c r="C10" s="80" t="s">
        <v>21</v>
      </c>
      <c r="D10" s="81" t="s">
        <v>22</v>
      </c>
      <c r="E10" s="82"/>
      <c r="F10" s="82"/>
      <c r="G10" s="19"/>
      <c r="H10" s="83"/>
      <c r="I10" s="83"/>
      <c r="J10" s="83"/>
      <c r="K10" s="83"/>
      <c r="L10" s="83"/>
      <c r="M10" s="83"/>
      <c r="N10" s="83"/>
      <c r="O10" s="83"/>
      <c r="P10" s="83"/>
      <c r="Q10" s="83"/>
      <c r="R10" s="83"/>
      <c r="S10" s="83"/>
      <c r="T10" s="83"/>
      <c r="U10" s="83"/>
      <c r="V10" s="83"/>
      <c r="W10" s="83"/>
      <c r="X10" s="83"/>
      <c r="Y10" s="83"/>
      <c r="Z10" s="83"/>
      <c r="AA10" s="83"/>
      <c r="AB10" s="79"/>
    </row>
    <row r="11" spans="1:38" s="9" customFormat="1" ht="20.149999999999999" customHeight="1">
      <c r="A11" s="74"/>
      <c r="B11" s="18"/>
      <c r="C11" s="75" t="s">
        <v>23</v>
      </c>
      <c r="D11" s="18"/>
      <c r="E11" s="18"/>
      <c r="F11" s="18"/>
      <c r="G11" s="487"/>
      <c r="H11" s="487"/>
      <c r="I11" s="487"/>
      <c r="J11" s="487"/>
      <c r="K11" s="487"/>
      <c r="L11" s="487"/>
      <c r="M11" s="487"/>
      <c r="N11" s="487"/>
      <c r="O11" s="487"/>
      <c r="P11" s="487"/>
      <c r="Q11" s="487"/>
      <c r="R11" s="487"/>
      <c r="S11" s="487"/>
      <c r="T11" s="487"/>
      <c r="U11" s="487"/>
      <c r="V11" s="487"/>
      <c r="W11" s="487"/>
      <c r="X11" s="487"/>
      <c r="Y11" s="487"/>
      <c r="Z11" s="487"/>
      <c r="AA11" s="487"/>
      <c r="AB11" s="488"/>
    </row>
    <row r="12" spans="1:38" s="9" customFormat="1" ht="20.149999999999999" customHeight="1">
      <c r="A12" s="78"/>
      <c r="B12" s="18"/>
      <c r="C12" s="75" t="s">
        <v>24</v>
      </c>
      <c r="D12" s="75"/>
      <c r="E12" s="75"/>
      <c r="F12" s="75"/>
      <c r="G12" s="487"/>
      <c r="H12" s="487"/>
      <c r="I12" s="487"/>
      <c r="J12" s="487"/>
      <c r="K12" s="487"/>
      <c r="L12" s="487"/>
      <c r="M12" s="487"/>
      <c r="N12" s="487"/>
      <c r="O12" s="487"/>
      <c r="P12" s="487"/>
      <c r="Q12" s="487"/>
      <c r="R12" s="487"/>
      <c r="S12" s="487"/>
      <c r="T12" s="487"/>
      <c r="U12" s="487"/>
      <c r="V12" s="487"/>
      <c r="W12" s="487"/>
      <c r="X12" s="487"/>
      <c r="Y12" s="487"/>
      <c r="Z12" s="487"/>
      <c r="AA12" s="487"/>
      <c r="AB12" s="488"/>
    </row>
    <row r="13" spans="1:38" s="9" customFormat="1" ht="20.149999999999999" customHeight="1">
      <c r="A13" s="84"/>
      <c r="B13" s="85" t="s">
        <v>25</v>
      </c>
      <c r="C13" s="113"/>
      <c r="D13" s="113"/>
      <c r="E13" s="75"/>
      <c r="F13" s="75"/>
      <c r="G13" s="75"/>
      <c r="H13" s="75"/>
      <c r="I13" s="75"/>
      <c r="J13" s="75"/>
      <c r="K13" s="75"/>
      <c r="L13" s="75"/>
      <c r="M13" s="75"/>
      <c r="N13" s="75"/>
      <c r="O13" s="75"/>
      <c r="P13" s="75"/>
      <c r="Q13" s="75"/>
      <c r="R13" s="75"/>
      <c r="S13" s="75"/>
      <c r="T13" s="75"/>
      <c r="U13" s="75"/>
      <c r="V13" s="75"/>
      <c r="W13" s="75"/>
      <c r="X13" s="75"/>
      <c r="Y13" s="75"/>
      <c r="Z13" s="75"/>
      <c r="AA13" s="75"/>
      <c r="AB13" s="79"/>
    </row>
    <row r="14" spans="1:38" s="9" customFormat="1" ht="20.149999999999999" customHeight="1">
      <c r="A14" s="84"/>
      <c r="B14" s="85" t="s">
        <v>26</v>
      </c>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4"/>
    </row>
    <row r="15" spans="1:38" s="9" customFormat="1" ht="20.149999999999999" customHeight="1">
      <c r="A15" s="86"/>
      <c r="B15" s="87" t="s">
        <v>27</v>
      </c>
      <c r="C15" s="113"/>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4"/>
    </row>
    <row r="16" spans="1:38" s="9" customFormat="1" ht="20.149999999999999" customHeight="1">
      <c r="A16" s="199" t="s">
        <v>28</v>
      </c>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79"/>
      <c r="AC16" s="43"/>
    </row>
    <row r="17" spans="1:29" s="9" customFormat="1" ht="20.149999999999999" customHeight="1">
      <c r="A17" s="88"/>
      <c r="B17" s="20" t="s">
        <v>29</v>
      </c>
      <c r="C17" s="20"/>
      <c r="D17" s="20"/>
      <c r="E17" s="20"/>
      <c r="F17" s="20"/>
      <c r="G17" s="20" t="s">
        <v>30</v>
      </c>
      <c r="H17" s="20"/>
      <c r="I17" s="20"/>
      <c r="J17" s="20"/>
      <c r="K17" s="20"/>
      <c r="L17" s="21"/>
      <c r="M17" s="20"/>
      <c r="N17" s="20" t="s">
        <v>31</v>
      </c>
      <c r="O17" s="20"/>
      <c r="P17" s="20"/>
      <c r="Q17" s="20"/>
      <c r="R17" s="20"/>
      <c r="S17" s="20"/>
      <c r="T17" s="20"/>
      <c r="U17" s="20"/>
      <c r="V17" s="20"/>
      <c r="W17" s="20"/>
      <c r="X17" s="20"/>
      <c r="Y17" s="20"/>
      <c r="Z17" s="20"/>
      <c r="AA17" s="20"/>
      <c r="AB17" s="89"/>
      <c r="AC17" s="43"/>
    </row>
    <row r="18" spans="1:29" s="9" customFormat="1" ht="20.149999999999999" customHeight="1">
      <c r="A18" s="90" t="s">
        <v>32</v>
      </c>
      <c r="B18" s="22"/>
      <c r="C18" s="22"/>
      <c r="D18" s="22"/>
      <c r="E18" s="22"/>
      <c r="F18" s="22"/>
      <c r="G18" s="22"/>
      <c r="H18" s="22"/>
      <c r="I18" s="22"/>
      <c r="J18" s="22"/>
      <c r="K18" s="22"/>
      <c r="L18" s="23"/>
      <c r="M18" s="22"/>
      <c r="N18" s="22"/>
      <c r="O18" s="22"/>
      <c r="P18" s="22"/>
      <c r="Q18" s="22"/>
      <c r="R18" s="22"/>
      <c r="S18" s="22"/>
      <c r="T18" s="22"/>
      <c r="U18" s="22"/>
      <c r="V18" s="22"/>
      <c r="W18" s="22"/>
      <c r="X18" s="22"/>
      <c r="Y18" s="22"/>
      <c r="Z18" s="22"/>
      <c r="AA18" s="22"/>
      <c r="AB18" s="91"/>
      <c r="AC18" s="43"/>
    </row>
    <row r="19" spans="1:29" s="9" customFormat="1" ht="20.149999999999999" customHeight="1">
      <c r="A19" s="199" t="s">
        <v>33</v>
      </c>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c r="AA19" s="200"/>
      <c r="AB19" s="279"/>
      <c r="AC19" s="43"/>
    </row>
    <row r="20" spans="1:29" s="9" customFormat="1" ht="20.149999999999999" customHeight="1">
      <c r="A20" s="153" t="s">
        <v>34</v>
      </c>
      <c r="B20" s="154"/>
      <c r="C20" s="154"/>
      <c r="D20" s="155"/>
      <c r="E20" s="141" t="s">
        <v>35</v>
      </c>
      <c r="F20" s="142"/>
      <c r="G20" s="458" t="s">
        <v>134</v>
      </c>
      <c r="H20" s="459"/>
      <c r="I20" s="459"/>
      <c r="J20" s="459"/>
      <c r="K20" s="459"/>
      <c r="L20" s="459"/>
      <c r="M20" s="459"/>
      <c r="N20" s="459"/>
      <c r="O20" s="459"/>
      <c r="P20" s="470"/>
      <c r="Q20" s="280" t="s">
        <v>36</v>
      </c>
      <c r="R20" s="280"/>
      <c r="S20" s="280"/>
      <c r="T20" s="458" t="s">
        <v>135</v>
      </c>
      <c r="U20" s="459"/>
      <c r="V20" s="459"/>
      <c r="W20" s="459"/>
      <c r="X20" s="459"/>
      <c r="Y20" s="459"/>
      <c r="Z20" s="459"/>
      <c r="AA20" s="459"/>
      <c r="AB20" s="460"/>
      <c r="AC20" s="43"/>
    </row>
    <row r="21" spans="1:29" s="9" customFormat="1" ht="20.149999999999999" customHeight="1">
      <c r="A21" s="156"/>
      <c r="B21" s="157"/>
      <c r="C21" s="157"/>
      <c r="D21" s="158"/>
      <c r="E21" s="471" t="s">
        <v>136</v>
      </c>
      <c r="F21" s="472"/>
      <c r="G21" s="472"/>
      <c r="H21" s="472"/>
      <c r="I21" s="472"/>
      <c r="J21" s="472"/>
      <c r="K21" s="472"/>
      <c r="L21" s="472"/>
      <c r="M21" s="472"/>
      <c r="N21" s="472"/>
      <c r="O21" s="472"/>
      <c r="P21" s="473"/>
      <c r="Q21" s="477" t="s">
        <v>137</v>
      </c>
      <c r="R21" s="477"/>
      <c r="S21" s="477"/>
      <c r="T21" s="478"/>
      <c r="U21" s="478"/>
      <c r="V21" s="478"/>
      <c r="W21" s="478"/>
      <c r="X21" s="478"/>
      <c r="Y21" s="478"/>
      <c r="Z21" s="478"/>
      <c r="AA21" s="478"/>
      <c r="AB21" s="479"/>
      <c r="AC21" s="43"/>
    </row>
    <row r="22" spans="1:29" s="9" customFormat="1" ht="20.149999999999999" customHeight="1">
      <c r="A22" s="159"/>
      <c r="B22" s="160"/>
      <c r="C22" s="160"/>
      <c r="D22" s="161"/>
      <c r="E22" s="474"/>
      <c r="F22" s="475"/>
      <c r="G22" s="475"/>
      <c r="H22" s="475"/>
      <c r="I22" s="475"/>
      <c r="J22" s="475"/>
      <c r="K22" s="475"/>
      <c r="L22" s="475"/>
      <c r="M22" s="475"/>
      <c r="N22" s="475"/>
      <c r="O22" s="475"/>
      <c r="P22" s="476"/>
      <c r="Q22" s="475"/>
      <c r="R22" s="475"/>
      <c r="S22" s="475"/>
      <c r="T22" s="475"/>
      <c r="U22" s="475"/>
      <c r="V22" s="475"/>
      <c r="W22" s="475"/>
      <c r="X22" s="475"/>
      <c r="Y22" s="475"/>
      <c r="Z22" s="475"/>
      <c r="AA22" s="475"/>
      <c r="AB22" s="480"/>
      <c r="AC22" s="43"/>
    </row>
    <row r="23" spans="1:29" s="9" customFormat="1" ht="20.149999999999999" customHeight="1">
      <c r="A23" s="153" t="s">
        <v>37</v>
      </c>
      <c r="B23" s="260"/>
      <c r="C23" s="260"/>
      <c r="D23" s="261"/>
      <c r="E23" s="241" t="s">
        <v>38</v>
      </c>
      <c r="F23" s="242"/>
      <c r="G23" s="356"/>
      <c r="H23" s="457" t="s">
        <v>39</v>
      </c>
      <c r="I23" s="457"/>
      <c r="J23" s="458" t="s">
        <v>138</v>
      </c>
      <c r="K23" s="459"/>
      <c r="L23" s="459"/>
      <c r="M23" s="459"/>
      <c r="N23" s="459"/>
      <c r="O23" s="459"/>
      <c r="P23" s="459"/>
      <c r="Q23" s="459"/>
      <c r="R23" s="459"/>
      <c r="S23" s="459"/>
      <c r="T23" s="459"/>
      <c r="U23" s="459"/>
      <c r="V23" s="459"/>
      <c r="W23" s="459"/>
      <c r="X23" s="459"/>
      <c r="Y23" s="459"/>
      <c r="Z23" s="459"/>
      <c r="AA23" s="459"/>
      <c r="AB23" s="460"/>
      <c r="AC23" s="43"/>
    </row>
    <row r="24" spans="1:29" s="9" customFormat="1" ht="20.149999999999999" customHeight="1">
      <c r="A24" s="156"/>
      <c r="B24" s="262"/>
      <c r="C24" s="262"/>
      <c r="D24" s="263"/>
      <c r="E24" s="461" t="s">
        <v>139</v>
      </c>
      <c r="F24" s="462"/>
      <c r="G24" s="463"/>
      <c r="H24" s="464" t="s">
        <v>140</v>
      </c>
      <c r="I24" s="465"/>
      <c r="J24" s="465"/>
      <c r="K24" s="465"/>
      <c r="L24" s="465"/>
      <c r="M24" s="465"/>
      <c r="N24" s="465"/>
      <c r="O24" s="465"/>
      <c r="P24" s="465"/>
      <c r="Q24" s="465"/>
      <c r="R24" s="465"/>
      <c r="S24" s="465"/>
      <c r="T24" s="465"/>
      <c r="U24" s="465"/>
      <c r="V24" s="465"/>
      <c r="W24" s="465"/>
      <c r="X24" s="465"/>
      <c r="Y24" s="465"/>
      <c r="Z24" s="465"/>
      <c r="AA24" s="465"/>
      <c r="AB24" s="466"/>
      <c r="AC24" s="43"/>
    </row>
    <row r="25" spans="1:29" s="9" customFormat="1" ht="20.149999999999999" customHeight="1">
      <c r="A25" s="264"/>
      <c r="B25" s="265"/>
      <c r="C25" s="265"/>
      <c r="D25" s="266"/>
      <c r="E25" s="203" t="s">
        <v>40</v>
      </c>
      <c r="F25" s="204"/>
      <c r="G25" s="204"/>
      <c r="H25" s="467" t="s">
        <v>141</v>
      </c>
      <c r="I25" s="468"/>
      <c r="J25" s="468"/>
      <c r="K25" s="468"/>
      <c r="L25" s="469"/>
      <c r="M25" s="203" t="s">
        <v>41</v>
      </c>
      <c r="N25" s="204"/>
      <c r="O25" s="204"/>
      <c r="P25" s="450" t="s">
        <v>141</v>
      </c>
      <c r="Q25" s="451"/>
      <c r="R25" s="451"/>
      <c r="S25" s="451"/>
      <c r="T25" s="452"/>
      <c r="U25" s="92"/>
      <c r="V25" s="453" t="s">
        <v>42</v>
      </c>
      <c r="W25" s="453"/>
      <c r="X25" s="453"/>
      <c r="Y25" s="92"/>
      <c r="Z25" s="453" t="s">
        <v>43</v>
      </c>
      <c r="AA25" s="453"/>
      <c r="AB25" s="454"/>
      <c r="AC25" s="43"/>
    </row>
    <row r="26" spans="1:29" s="9" customFormat="1" ht="20.149999999999999" customHeight="1">
      <c r="A26" s="146" t="s">
        <v>44</v>
      </c>
      <c r="B26" s="147"/>
      <c r="C26" s="147"/>
      <c r="D26" s="148"/>
      <c r="E26" s="24" t="s">
        <v>45</v>
      </c>
      <c r="F26" s="451">
        <v>2002</v>
      </c>
      <c r="G26" s="451"/>
      <c r="H26" s="25" t="s">
        <v>46</v>
      </c>
      <c r="I26" s="112">
        <v>2</v>
      </c>
      <c r="J26" s="26" t="s">
        <v>47</v>
      </c>
      <c r="K26" s="203" t="s">
        <v>48</v>
      </c>
      <c r="L26" s="204"/>
      <c r="M26" s="254"/>
      <c r="N26" s="455">
        <v>12345678</v>
      </c>
      <c r="O26" s="456"/>
      <c r="P26" s="456"/>
      <c r="Q26" s="27" t="s">
        <v>49</v>
      </c>
      <c r="R26" s="203" t="s">
        <v>50</v>
      </c>
      <c r="S26" s="204"/>
      <c r="T26" s="254"/>
      <c r="U26" s="455">
        <v>12345678</v>
      </c>
      <c r="V26" s="456"/>
      <c r="W26" s="111" t="s">
        <v>51</v>
      </c>
      <c r="X26" s="203" t="s">
        <v>52</v>
      </c>
      <c r="Y26" s="254"/>
      <c r="Z26" s="455">
        <v>12345678</v>
      </c>
      <c r="AA26" s="456"/>
      <c r="AB26" s="93" t="s">
        <v>49</v>
      </c>
      <c r="AC26" s="43"/>
    </row>
    <row r="27" spans="1:29" s="9" customFormat="1" ht="20.149999999999999" customHeight="1">
      <c r="A27" s="146" t="s">
        <v>53</v>
      </c>
      <c r="B27" s="147"/>
      <c r="C27" s="147"/>
      <c r="D27" s="148"/>
      <c r="E27" s="445" t="s">
        <v>142</v>
      </c>
      <c r="F27" s="446"/>
      <c r="G27" s="446"/>
      <c r="H27" s="446"/>
      <c r="I27" s="446"/>
      <c r="J27" s="446"/>
      <c r="K27" s="446"/>
      <c r="L27" s="446"/>
      <c r="M27" s="446"/>
      <c r="N27" s="446"/>
      <c r="O27" s="446"/>
      <c r="P27" s="446"/>
      <c r="Q27" s="447"/>
      <c r="R27" s="94"/>
      <c r="S27" s="448" t="s">
        <v>54</v>
      </c>
      <c r="T27" s="448"/>
      <c r="U27" s="448"/>
      <c r="V27" s="448"/>
      <c r="W27" s="448"/>
      <c r="X27" s="448"/>
      <c r="Y27" s="448"/>
      <c r="Z27" s="448"/>
      <c r="AA27" s="448"/>
      <c r="AB27" s="449"/>
      <c r="AC27" s="43"/>
    </row>
    <row r="28" spans="1:29" s="9" customFormat="1" ht="20.149999999999999" customHeight="1">
      <c r="A28" s="199" t="s">
        <v>55</v>
      </c>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c r="AA28" s="200"/>
      <c r="AB28" s="279"/>
      <c r="AC28" s="43"/>
    </row>
    <row r="29" spans="1:29" s="9" customFormat="1" ht="20.149999999999999" customHeight="1">
      <c r="A29" s="244" t="s">
        <v>56</v>
      </c>
      <c r="B29" s="245"/>
      <c r="C29" s="245"/>
      <c r="D29" s="246"/>
      <c r="E29" s="241" t="s">
        <v>57</v>
      </c>
      <c r="F29" s="242"/>
      <c r="G29" s="243"/>
      <c r="H29" s="437" t="s">
        <v>143</v>
      </c>
      <c r="I29" s="438"/>
      <c r="J29" s="438"/>
      <c r="K29" s="438"/>
      <c r="L29" s="438"/>
      <c r="M29" s="438"/>
      <c r="N29" s="438"/>
      <c r="O29" s="438"/>
      <c r="P29" s="439"/>
      <c r="Q29" s="241" t="s">
        <v>57</v>
      </c>
      <c r="R29" s="242"/>
      <c r="S29" s="243"/>
      <c r="T29" s="437" t="s">
        <v>144</v>
      </c>
      <c r="U29" s="438"/>
      <c r="V29" s="438"/>
      <c r="W29" s="438"/>
      <c r="X29" s="438"/>
      <c r="Y29" s="438"/>
      <c r="Z29" s="438"/>
      <c r="AA29" s="438"/>
      <c r="AB29" s="440"/>
      <c r="AC29" s="43"/>
    </row>
    <row r="30" spans="1:29" s="9" customFormat="1" ht="20.149999999999999" customHeight="1">
      <c r="A30" s="247"/>
      <c r="B30" s="248"/>
      <c r="C30" s="248"/>
      <c r="D30" s="249"/>
      <c r="E30" s="193" t="s">
        <v>58</v>
      </c>
      <c r="F30" s="194"/>
      <c r="G30" s="195"/>
      <c r="H30" s="441" t="s">
        <v>145</v>
      </c>
      <c r="I30" s="442"/>
      <c r="J30" s="442"/>
      <c r="K30" s="442"/>
      <c r="L30" s="442"/>
      <c r="M30" s="442"/>
      <c r="N30" s="442"/>
      <c r="O30" s="442"/>
      <c r="P30" s="443"/>
      <c r="Q30" s="193" t="s">
        <v>59</v>
      </c>
      <c r="R30" s="194"/>
      <c r="S30" s="195"/>
      <c r="T30" s="441" t="s">
        <v>146</v>
      </c>
      <c r="U30" s="442"/>
      <c r="V30" s="442"/>
      <c r="W30" s="442"/>
      <c r="X30" s="442"/>
      <c r="Y30" s="442"/>
      <c r="Z30" s="442"/>
      <c r="AA30" s="442"/>
      <c r="AB30" s="444"/>
      <c r="AC30" s="43"/>
    </row>
    <row r="31" spans="1:29" s="9" customFormat="1" ht="20.149999999999999" customHeight="1">
      <c r="A31" s="282" t="s">
        <v>60</v>
      </c>
      <c r="B31" s="204"/>
      <c r="C31" s="204"/>
      <c r="D31" s="254"/>
      <c r="E31" s="430" t="s">
        <v>141</v>
      </c>
      <c r="F31" s="431"/>
      <c r="G31" s="431"/>
      <c r="H31" s="431"/>
      <c r="I31" s="431"/>
      <c r="J31" s="431"/>
      <c r="K31" s="431"/>
      <c r="L31" s="431"/>
      <c r="M31" s="431"/>
      <c r="N31" s="432"/>
      <c r="O31" s="203" t="s">
        <v>61</v>
      </c>
      <c r="P31" s="204"/>
      <c r="Q31" s="204"/>
      <c r="R31" s="254"/>
      <c r="S31" s="430" t="s">
        <v>141</v>
      </c>
      <c r="T31" s="431"/>
      <c r="U31" s="431"/>
      <c r="V31" s="431"/>
      <c r="W31" s="431"/>
      <c r="X31" s="431"/>
      <c r="Y31" s="431"/>
      <c r="Z31" s="431"/>
      <c r="AA31" s="431"/>
      <c r="AB31" s="433"/>
      <c r="AC31" s="43"/>
    </row>
    <row r="32" spans="1:29" s="9" customFormat="1" ht="20.149999999999999" customHeight="1">
      <c r="A32" s="282" t="s">
        <v>62</v>
      </c>
      <c r="B32" s="204"/>
      <c r="C32" s="204"/>
      <c r="D32" s="254"/>
      <c r="E32" s="434" t="s">
        <v>147</v>
      </c>
      <c r="F32" s="431"/>
      <c r="G32" s="431"/>
      <c r="H32" s="431"/>
      <c r="I32" s="431"/>
      <c r="J32" s="431"/>
      <c r="K32" s="431"/>
      <c r="L32" s="431"/>
      <c r="M32" s="431"/>
      <c r="N32" s="431"/>
      <c r="O32" s="431"/>
      <c r="P32" s="431"/>
      <c r="Q32" s="431"/>
      <c r="R32" s="431"/>
      <c r="S32" s="431"/>
      <c r="T32" s="431"/>
      <c r="U32" s="431"/>
      <c r="V32" s="431"/>
      <c r="W32" s="431"/>
      <c r="X32" s="435" t="s">
        <v>63</v>
      </c>
      <c r="Y32" s="435"/>
      <c r="Z32" s="435"/>
      <c r="AA32" s="435"/>
      <c r="AB32" s="436"/>
      <c r="AC32" s="43"/>
    </row>
    <row r="33" spans="1:36" ht="20.149999999999999" customHeight="1">
      <c r="A33" s="177" t="s">
        <v>64</v>
      </c>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9"/>
      <c r="AC33" s="42"/>
    </row>
    <row r="34" spans="1:36" ht="20.149999999999999" customHeight="1">
      <c r="A34" s="180"/>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2"/>
      <c r="AC34" s="42"/>
    </row>
    <row r="35" spans="1:36" ht="20.149999999999999" customHeight="1">
      <c r="A35" s="199" t="s">
        <v>65</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79"/>
      <c r="AC35" s="42"/>
    </row>
    <row r="36" spans="1:36" ht="20.149999999999999" customHeight="1">
      <c r="A36" s="244" t="s">
        <v>66</v>
      </c>
      <c r="B36" s="245"/>
      <c r="C36" s="245"/>
      <c r="D36" s="246"/>
      <c r="E36" s="241" t="s">
        <v>57</v>
      </c>
      <c r="F36" s="242"/>
      <c r="G36" s="243"/>
      <c r="H36" s="427"/>
      <c r="I36" s="428"/>
      <c r="J36" s="428"/>
      <c r="K36" s="428"/>
      <c r="L36" s="428"/>
      <c r="M36" s="428"/>
      <c r="N36" s="428"/>
      <c r="O36" s="428"/>
      <c r="P36" s="429"/>
      <c r="Q36" s="241" t="s">
        <v>57</v>
      </c>
      <c r="R36" s="242"/>
      <c r="S36" s="243"/>
      <c r="T36" s="223"/>
      <c r="U36" s="224"/>
      <c r="V36" s="224"/>
      <c r="W36" s="224"/>
      <c r="X36" s="224"/>
      <c r="Y36" s="224"/>
      <c r="Z36" s="224"/>
      <c r="AA36" s="224"/>
      <c r="AB36" s="225"/>
      <c r="AC36" s="42"/>
    </row>
    <row r="37" spans="1:36" ht="20.149999999999999" customHeight="1">
      <c r="A37" s="247"/>
      <c r="B37" s="248"/>
      <c r="C37" s="248"/>
      <c r="D37" s="249"/>
      <c r="E37" s="193" t="s">
        <v>67</v>
      </c>
      <c r="F37" s="194"/>
      <c r="G37" s="195"/>
      <c r="H37" s="226"/>
      <c r="I37" s="227"/>
      <c r="J37" s="227"/>
      <c r="K37" s="227"/>
      <c r="L37" s="227"/>
      <c r="M37" s="227"/>
      <c r="N37" s="227"/>
      <c r="O37" s="227"/>
      <c r="P37" s="238"/>
      <c r="Q37" s="193" t="s">
        <v>68</v>
      </c>
      <c r="R37" s="194"/>
      <c r="S37" s="195"/>
      <c r="T37" s="226"/>
      <c r="U37" s="227"/>
      <c r="V37" s="227"/>
      <c r="W37" s="227"/>
      <c r="X37" s="227"/>
      <c r="Y37" s="227"/>
      <c r="Z37" s="227"/>
      <c r="AA37" s="227"/>
      <c r="AB37" s="228"/>
      <c r="AC37" s="42"/>
    </row>
    <row r="38" spans="1:36" ht="20.149999999999999" customHeight="1">
      <c r="A38" s="282" t="s">
        <v>69</v>
      </c>
      <c r="B38" s="204"/>
      <c r="C38" s="204"/>
      <c r="D38" s="254"/>
      <c r="E38" s="188"/>
      <c r="F38" s="189"/>
      <c r="G38" s="189"/>
      <c r="H38" s="189"/>
      <c r="I38" s="189"/>
      <c r="J38" s="189"/>
      <c r="K38" s="189"/>
      <c r="L38" s="189"/>
      <c r="M38" s="189"/>
      <c r="N38" s="237"/>
      <c r="O38" s="203" t="s">
        <v>70</v>
      </c>
      <c r="P38" s="204"/>
      <c r="Q38" s="204"/>
      <c r="R38" s="254"/>
      <c r="S38" s="188"/>
      <c r="T38" s="189"/>
      <c r="U38" s="189"/>
      <c r="V38" s="189"/>
      <c r="W38" s="189"/>
      <c r="X38" s="189"/>
      <c r="Y38" s="189"/>
      <c r="Z38" s="189"/>
      <c r="AA38" s="189"/>
      <c r="AB38" s="190"/>
      <c r="AC38" s="42"/>
    </row>
    <row r="39" spans="1:36" ht="20.149999999999999" customHeight="1">
      <c r="A39" s="282" t="s">
        <v>71</v>
      </c>
      <c r="B39" s="204"/>
      <c r="C39" s="204"/>
      <c r="D39" s="254"/>
      <c r="E39" s="426"/>
      <c r="F39" s="189"/>
      <c r="G39" s="189"/>
      <c r="H39" s="189"/>
      <c r="I39" s="189"/>
      <c r="J39" s="189"/>
      <c r="K39" s="189"/>
      <c r="L39" s="189"/>
      <c r="M39" s="189"/>
      <c r="N39" s="189"/>
      <c r="O39" s="189"/>
      <c r="P39" s="189"/>
      <c r="Q39" s="189"/>
      <c r="R39" s="189"/>
      <c r="S39" s="189"/>
      <c r="T39" s="189"/>
      <c r="U39" s="189"/>
      <c r="V39" s="189"/>
      <c r="W39" s="189"/>
      <c r="X39" s="183" t="s">
        <v>63</v>
      </c>
      <c r="Y39" s="183"/>
      <c r="Z39" s="183"/>
      <c r="AA39" s="183"/>
      <c r="AB39" s="184"/>
      <c r="AC39" s="42"/>
    </row>
    <row r="40" spans="1:36" ht="20.149999999999999" customHeight="1">
      <c r="A40" s="199" t="s">
        <v>72</v>
      </c>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c r="AA40" s="200"/>
      <c r="AB40" s="279"/>
      <c r="AC40" s="42"/>
    </row>
    <row r="41" spans="1:36" ht="20.149999999999999" customHeight="1">
      <c r="A41" s="347" t="s">
        <v>73</v>
      </c>
      <c r="B41" s="348"/>
      <c r="C41" s="348"/>
      <c r="D41" s="348"/>
      <c r="E41" s="151" t="s">
        <v>74</v>
      </c>
      <c r="F41" s="152"/>
      <c r="G41" s="152"/>
      <c r="H41" s="149" t="s">
        <v>75</v>
      </c>
      <c r="I41" s="149"/>
      <c r="J41" s="149"/>
      <c r="K41" s="149"/>
      <c r="L41" s="149"/>
      <c r="M41" s="149"/>
      <c r="N41" s="149"/>
      <c r="O41" s="149"/>
      <c r="P41" s="150"/>
      <c r="Q41" s="425">
        <v>1000000</v>
      </c>
      <c r="R41" s="420"/>
      <c r="S41" s="420"/>
      <c r="T41" s="420"/>
      <c r="U41" s="421"/>
      <c r="V41" s="422" t="s">
        <v>76</v>
      </c>
      <c r="W41" s="422"/>
      <c r="X41" s="351" t="s">
        <v>77</v>
      </c>
      <c r="Y41" s="351"/>
      <c r="Z41" s="351"/>
      <c r="AA41" s="351"/>
      <c r="AB41" s="352"/>
      <c r="AC41" s="42"/>
    </row>
    <row r="42" spans="1:36" ht="20.149999999999999" customHeight="1">
      <c r="A42" s="347"/>
      <c r="B42" s="348"/>
      <c r="C42" s="348"/>
      <c r="D42" s="348"/>
      <c r="E42" s="151" t="s">
        <v>78</v>
      </c>
      <c r="F42" s="152"/>
      <c r="G42" s="152"/>
      <c r="H42" s="205" t="s">
        <v>79</v>
      </c>
      <c r="I42" s="205"/>
      <c r="J42" s="205"/>
      <c r="K42" s="205"/>
      <c r="L42" s="205"/>
      <c r="M42" s="205"/>
      <c r="N42" s="205"/>
      <c r="O42" s="205"/>
      <c r="P42" s="206"/>
      <c r="Q42" s="425">
        <v>1000000</v>
      </c>
      <c r="R42" s="420"/>
      <c r="S42" s="420"/>
      <c r="T42" s="420"/>
      <c r="U42" s="421"/>
      <c r="V42" s="422" t="s">
        <v>76</v>
      </c>
      <c r="W42" s="424"/>
      <c r="X42" s="351"/>
      <c r="Y42" s="351"/>
      <c r="Z42" s="351"/>
      <c r="AA42" s="351"/>
      <c r="AB42" s="352"/>
      <c r="AC42" s="42"/>
    </row>
    <row r="43" spans="1:36" ht="20.149999999999999" customHeight="1">
      <c r="A43" s="347"/>
      <c r="B43" s="348"/>
      <c r="C43" s="348"/>
      <c r="D43" s="348"/>
      <c r="E43" s="151" t="s">
        <v>80</v>
      </c>
      <c r="F43" s="152"/>
      <c r="G43" s="152"/>
      <c r="H43" s="205" t="s">
        <v>81</v>
      </c>
      <c r="I43" s="205"/>
      <c r="J43" s="205"/>
      <c r="K43" s="205"/>
      <c r="L43" s="205"/>
      <c r="M43" s="205"/>
      <c r="N43" s="205"/>
      <c r="O43" s="205"/>
      <c r="P43" s="206"/>
      <c r="Q43" s="425">
        <v>1000000</v>
      </c>
      <c r="R43" s="420"/>
      <c r="S43" s="420"/>
      <c r="T43" s="420"/>
      <c r="U43" s="421"/>
      <c r="V43" s="422" t="s">
        <v>76</v>
      </c>
      <c r="W43" s="424"/>
      <c r="X43" s="351"/>
      <c r="Y43" s="351"/>
      <c r="Z43" s="351"/>
      <c r="AA43" s="351"/>
      <c r="AB43" s="352"/>
      <c r="AC43" s="42"/>
    </row>
    <row r="44" spans="1:36" ht="20.149999999999999" customHeight="1">
      <c r="A44" s="349"/>
      <c r="B44" s="350"/>
      <c r="C44" s="350"/>
      <c r="D44" s="350"/>
      <c r="E44" s="201" t="s">
        <v>82</v>
      </c>
      <c r="F44" s="202"/>
      <c r="G44" s="202"/>
      <c r="H44" s="207" t="s">
        <v>81</v>
      </c>
      <c r="I44" s="207"/>
      <c r="J44" s="207"/>
      <c r="K44" s="207"/>
      <c r="L44" s="207"/>
      <c r="M44" s="207"/>
      <c r="N44" s="207"/>
      <c r="O44" s="207"/>
      <c r="P44" s="208"/>
      <c r="Q44" s="420">
        <v>1000000</v>
      </c>
      <c r="R44" s="420"/>
      <c r="S44" s="420"/>
      <c r="T44" s="420"/>
      <c r="U44" s="421"/>
      <c r="V44" s="422" t="s">
        <v>76</v>
      </c>
      <c r="W44" s="424"/>
      <c r="X44" s="344">
        <f>SUM(Q41:U44)</f>
        <v>4000000</v>
      </c>
      <c r="Y44" s="345"/>
      <c r="Z44" s="345"/>
      <c r="AA44" s="345"/>
      <c r="AB44" s="346"/>
      <c r="AC44" s="42"/>
    </row>
    <row r="45" spans="1:36" ht="20.149999999999999" customHeight="1">
      <c r="A45" s="146" t="s">
        <v>83</v>
      </c>
      <c r="B45" s="147"/>
      <c r="C45" s="147"/>
      <c r="D45" s="148"/>
      <c r="E45" s="203"/>
      <c r="F45" s="204"/>
      <c r="G45" s="204"/>
      <c r="H45" s="149" t="s">
        <v>84</v>
      </c>
      <c r="I45" s="149"/>
      <c r="J45" s="149"/>
      <c r="K45" s="149"/>
      <c r="L45" s="149"/>
      <c r="M45" s="149"/>
      <c r="N45" s="149"/>
      <c r="O45" s="149"/>
      <c r="P45" s="150"/>
      <c r="Q45" s="420">
        <v>5000000</v>
      </c>
      <c r="R45" s="420"/>
      <c r="S45" s="420"/>
      <c r="T45" s="420"/>
      <c r="U45" s="421"/>
      <c r="V45" s="422" t="s">
        <v>76</v>
      </c>
      <c r="W45" s="423"/>
      <c r="X45" s="363"/>
      <c r="Y45" s="364"/>
      <c r="Z45" s="364"/>
      <c r="AA45" s="364"/>
      <c r="AB45" s="365"/>
      <c r="AC45" s="42"/>
    </row>
    <row r="46" spans="1:36" ht="20.149999999999999" customHeight="1">
      <c r="A46" s="185" t="s">
        <v>85</v>
      </c>
      <c r="B46" s="186"/>
      <c r="C46" s="186"/>
      <c r="D46" s="186"/>
      <c r="E46" s="186"/>
      <c r="F46" s="186"/>
      <c r="G46" s="186"/>
      <c r="H46" s="186"/>
      <c r="I46" s="186"/>
      <c r="J46" s="186"/>
      <c r="K46" s="186"/>
      <c r="L46" s="186"/>
      <c r="M46" s="186"/>
      <c r="N46" s="186"/>
      <c r="O46" s="186"/>
      <c r="P46" s="187"/>
      <c r="Q46" s="339"/>
      <c r="R46" s="340"/>
      <c r="S46" s="340"/>
      <c r="T46" s="340"/>
      <c r="U46" s="340"/>
      <c r="V46" s="69" t="s">
        <v>86</v>
      </c>
      <c r="W46" s="70"/>
      <c r="X46" s="353" t="s">
        <v>87</v>
      </c>
      <c r="Y46" s="354"/>
      <c r="Z46" s="354"/>
      <c r="AA46" s="354"/>
      <c r="AB46" s="355"/>
      <c r="AC46" s="42"/>
    </row>
    <row r="47" spans="1:36" ht="22">
      <c r="A47" s="199" t="s">
        <v>88</v>
      </c>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96" t="s">
        <v>89</v>
      </c>
      <c r="AA47" s="296"/>
      <c r="AB47" s="297"/>
      <c r="AC47" s="56" t="s">
        <v>90</v>
      </c>
      <c r="AD47" s="9"/>
    </row>
    <row r="48" spans="1:36" ht="20.149999999999999" customHeight="1">
      <c r="A48" s="332" t="s">
        <v>91</v>
      </c>
      <c r="B48" s="333"/>
      <c r="C48" s="333"/>
      <c r="D48" s="333"/>
      <c r="E48" s="201" t="s">
        <v>92</v>
      </c>
      <c r="F48" s="202"/>
      <c r="G48" s="202"/>
      <c r="H48" s="338"/>
      <c r="I48" s="416" t="s">
        <v>148</v>
      </c>
      <c r="J48" s="417"/>
      <c r="K48" s="417"/>
      <c r="L48" s="417"/>
      <c r="M48" s="417"/>
      <c r="N48" s="417"/>
      <c r="O48" s="417"/>
      <c r="P48" s="417"/>
      <c r="Q48" s="417"/>
      <c r="R48" s="417"/>
      <c r="S48" s="417"/>
      <c r="T48" s="418"/>
      <c r="U48" s="34" t="str">
        <f ca="1">IF(I48="", "", IF(AND(AI48=TRUE, AJ48=TRUE), "OK", "NG"))</f>
        <v>OK</v>
      </c>
      <c r="V48" s="306" t="s">
        <v>93</v>
      </c>
      <c r="W48" s="307"/>
      <c r="X48" s="307"/>
      <c r="Y48" s="307"/>
      <c r="Z48" s="307"/>
      <c r="AA48" s="307"/>
      <c r="AB48" s="308"/>
      <c r="AC48" s="57">
        <f>LEN(I48)</f>
        <v>15</v>
      </c>
      <c r="AD48" s="50"/>
      <c r="AI48" s="8" t="b" cm="1">
        <f t="array" aca="1" ref="AI48" ca="1">AND(
    LEN(I48) &gt;= 8,
    LEN(I48) &lt;= 20,
    ISNUMBER(SUMPRODUCT(--ISNUMBER(SEARCH(MID(I48, ROW(INDIRECT("1:"&amp;LEN(I48))), 1), "abcdefghijklmnopqrstuvwxyz0123456789-.")))),
    SUMPRODUCT(--ISNUMBER(SEARCH(MID(I48, ROW(INDIRECT("1:"&amp;LEN(I48))), 1), "abcdefghijklmnopqrstuvwxyz")))&gt;0,
    SUMPRODUCT(--ISNUMBER(SEARCH(MID(I48, ROW(INDIRECT("1:"&amp;LEN(I48))), 1), "0123456789")))&gt;0,
    EXACT(I48, LOWER(I48)),
    ISERROR(FIND("@", I48)),
    SUMPRODUCT(--ISNUMBER(SEARCH(MID(I48, ROW(INDIRECT("1:"&amp;LEN(I48))), 1), "!#$%&amp;'()*+/;&lt;=&gt;?@[\\]^_`{|}~"))) = 0,
    NOT(OR(RIGHT(I48, 1) = "-", RIGHT(I48, 1) = "."))
)</f>
        <v>1</v>
      </c>
      <c r="AJ48" s="8" t="b">
        <f>IF(I48 = I49, FALSE, TRUE)</f>
        <v>1</v>
      </c>
    </row>
    <row r="49" spans="1:37" s="10" customFormat="1" ht="20.149999999999999" customHeight="1">
      <c r="A49" s="334"/>
      <c r="B49" s="335"/>
      <c r="C49" s="335"/>
      <c r="D49" s="335"/>
      <c r="E49" s="312" t="s">
        <v>94</v>
      </c>
      <c r="F49" s="313"/>
      <c r="G49" s="313"/>
      <c r="H49" s="314"/>
      <c r="I49" s="416" t="s">
        <v>149</v>
      </c>
      <c r="J49" s="417"/>
      <c r="K49" s="417"/>
      <c r="L49" s="417"/>
      <c r="M49" s="417"/>
      <c r="N49" s="417"/>
      <c r="O49" s="417"/>
      <c r="P49" s="417"/>
      <c r="Q49" s="417"/>
      <c r="R49" s="417"/>
      <c r="S49" s="417"/>
      <c r="T49" s="418"/>
      <c r="U49" s="34" t="str">
        <f ca="1">IF(I49="", "", IF(AND(AI49=TRUE, AJ49=TRUE), "OK", "NG"))</f>
        <v>OK</v>
      </c>
      <c r="V49" s="309"/>
      <c r="W49" s="310"/>
      <c r="X49" s="310"/>
      <c r="Y49" s="310"/>
      <c r="Z49" s="310"/>
      <c r="AA49" s="310"/>
      <c r="AB49" s="311"/>
      <c r="AC49" s="57">
        <f>LEN(I49)</f>
        <v>15</v>
      </c>
      <c r="AD49" s="50"/>
      <c r="AI49" s="8" t="b" cm="1">
        <f t="array" aca="1" ref="AI49" ca="1">AND(
    LEN(I49) &gt;= 8,
    LEN(I49) &lt;= 20,
    ISNUMBER(SUMPRODUCT(--ISNUMBER(SEARCH(MID(I49, ROW(INDIRECT("1:"&amp;LEN(I49))), 1), "abcdefghijklmnopqrstuvwxyz0123456789-.")))),
    SUMPRODUCT(--ISNUMBER(SEARCH(MID(I49, ROW(INDIRECT("1:"&amp;LEN(I49))), 1), "abcdefghijklmnopqrstuvwxyz")))&gt;0,
    SUMPRODUCT(--ISNUMBER(SEARCH(MID(I49, ROW(INDIRECT("1:"&amp;LEN(I49))), 1), "0123456789")))&gt;0,
    EXACT(I49, LOWER(I49)),
    ISERROR(FIND("@", I49)),
    SUMPRODUCT(--ISNUMBER(SEARCH(MID(I49, ROW(INDIRECT("1:"&amp;LEN(I49))), 1), "!#$%&amp;'()*+/;&lt;=&gt;?@[\\]^_`{|}~"))) = 0,
    NOT(OR(RIGHT(I49, 1) = "-", RIGHT(I49, 1) = "."))
)</f>
        <v>1</v>
      </c>
      <c r="AJ49" s="8" t="b">
        <f>IF(I48 = I49, FALSE, TRUE)</f>
        <v>1</v>
      </c>
      <c r="AK49" s="8"/>
    </row>
    <row r="50" spans="1:37" ht="20.149999999999999" customHeight="1">
      <c r="A50" s="315" t="s">
        <v>95</v>
      </c>
      <c r="B50" s="316"/>
      <c r="C50" s="316"/>
      <c r="D50" s="316"/>
      <c r="E50" s="316"/>
      <c r="F50" s="316"/>
      <c r="G50" s="316"/>
      <c r="H50" s="317"/>
      <c r="I50" s="419" t="s">
        <v>150</v>
      </c>
      <c r="J50" s="417"/>
      <c r="K50" s="417"/>
      <c r="L50" s="417"/>
      <c r="M50" s="417"/>
      <c r="N50" s="417"/>
      <c r="O50" s="417"/>
      <c r="P50" s="417"/>
      <c r="Q50" s="417"/>
      <c r="R50" s="417"/>
      <c r="S50" s="417"/>
      <c r="T50" s="418"/>
      <c r="U50" s="34" t="str">
        <f t="shared" ref="U50:U51" ca="1" si="0">IF(AND(ISBLANK(I50), AI50=FALSE), "", IF(AI50, "OK", "NG"))</f>
        <v>OK</v>
      </c>
      <c r="V50" s="309"/>
      <c r="W50" s="310"/>
      <c r="X50" s="310"/>
      <c r="Y50" s="310"/>
      <c r="Z50" s="310"/>
      <c r="AA50" s="310"/>
      <c r="AB50" s="311"/>
      <c r="AC50" s="57">
        <f>LEN(I50)</f>
        <v>16</v>
      </c>
      <c r="AD50" s="50"/>
      <c r="AI50" s="8" t="b" cm="1">
        <f t="array" aca="1" ref="AI50" ca="1">AND(
    LEN(I50) &gt;= 8,
    LEN(I50) &lt;= 20,
    ISNUMBER(SUMPRODUCT(--ISNUMBER(SEARCH(MID(I50, ROW(INDIRECT("1:"&amp;LEN(I50))), 1), "abcdefghijklmnopqrstuvwxyz0123456789-.")))),
    SUMPRODUCT(--ISNUMBER(SEARCH(MID(I50, ROW(INDIRECT("1:"&amp;LEN(I50))), 1), "abcdefghijklmnopqrstuvwxyz")))&gt;0,
    SUMPRODUCT(--ISNUMBER(SEARCH(MID(I50, ROW(INDIRECT("1:"&amp;LEN(I50))), 1), "0123456789")))&gt;0,
    EXACT(I50, LOWER(I50)),
    ISERROR(FIND("@", I50)),
    SUMPRODUCT(--ISNUMBER(SEARCH(MID(I50, ROW(INDIRECT("1:"&amp;LEN(I50))), 1), "!#$%&amp;'()*+/;&lt;=&gt;?@[\\]^_`{|}~"))) = 0,
    NOT(OR(RIGHT(I50, 1) = "-", RIGHT(I50, 1) = "."))
)</f>
        <v>1</v>
      </c>
      <c r="AK50" s="8" t="str">
        <f t="shared" ref="AK50:AK51" si="1">IF(ISBLANK(AJ50), "", IF(AJ50, "〇", "×"))</f>
        <v/>
      </c>
    </row>
    <row r="51" spans="1:37" ht="20.149999999999999" customHeight="1">
      <c r="A51" s="315" t="s">
        <v>96</v>
      </c>
      <c r="B51" s="316"/>
      <c r="C51" s="316"/>
      <c r="D51" s="316"/>
      <c r="E51" s="316"/>
      <c r="F51" s="316"/>
      <c r="G51" s="316"/>
      <c r="H51" s="317"/>
      <c r="I51" s="419" t="s">
        <v>151</v>
      </c>
      <c r="J51" s="417"/>
      <c r="K51" s="417"/>
      <c r="L51" s="417"/>
      <c r="M51" s="417"/>
      <c r="N51" s="417"/>
      <c r="O51" s="417"/>
      <c r="P51" s="417"/>
      <c r="Q51" s="417"/>
      <c r="R51" s="417"/>
      <c r="S51" s="417"/>
      <c r="T51" s="417"/>
      <c r="U51" s="34" t="str">
        <f t="shared" ca="1" si="0"/>
        <v>OK</v>
      </c>
      <c r="V51" s="309"/>
      <c r="W51" s="310"/>
      <c r="X51" s="310"/>
      <c r="Y51" s="310"/>
      <c r="Z51" s="310"/>
      <c r="AA51" s="310"/>
      <c r="AB51" s="311"/>
      <c r="AC51" s="57">
        <f>LEN(I51)</f>
        <v>16</v>
      </c>
      <c r="AD51" s="50"/>
      <c r="AI51" s="8" t="b" cm="1">
        <f t="array" aca="1" ref="AI51" ca="1">AND(
    LEN(I51) &gt;= 8,
    LEN(I51) &lt;= 20,
    ISNUMBER(SUMPRODUCT(--ISNUMBER(SEARCH(MID(I51, ROW(INDIRECT("1:"&amp;LEN(I51))), 1), "abcdefghijklmnopqrstuvwxyz0123456789-.")))),
    SUMPRODUCT(--ISNUMBER(SEARCH(MID(I51, ROW(INDIRECT("1:"&amp;LEN(I51))), 1), "abcdefghijklmnopqrstuvwxyz")))&gt;0,
    SUMPRODUCT(--ISNUMBER(SEARCH(MID(I51, ROW(INDIRECT("1:"&amp;LEN(I51))), 1), "0123456789")))&gt;0,
    EXACT(I51, LOWER(I51)),
    ISERROR(FIND("@", I51)),
    SUMPRODUCT(--ISNUMBER(SEARCH(MID(I51, ROW(INDIRECT("1:"&amp;LEN(I51))), 1), "!#$%&amp;'()*+/;&lt;=&gt;?@[\\]^_`{|}~"))) = 0,
    NOT(OR(RIGHT(I51, 1) = "-", RIGHT(I51, 1) = "."))
)</f>
        <v>1</v>
      </c>
      <c r="AK51" s="8" t="str">
        <f t="shared" si="1"/>
        <v/>
      </c>
    </row>
    <row r="52" spans="1:37" ht="20.149999999999999" customHeight="1">
      <c r="A52" s="199" t="s">
        <v>97</v>
      </c>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c r="AA52" s="200"/>
      <c r="AB52" s="279"/>
      <c r="AC52" s="42"/>
    </row>
    <row r="53" spans="1:37" s="11" customFormat="1" ht="20.149999999999999" customHeight="1">
      <c r="A53" s="298" t="s">
        <v>98</v>
      </c>
      <c r="B53" s="299"/>
      <c r="C53" s="299"/>
      <c r="D53" s="299"/>
      <c r="E53" s="299"/>
      <c r="F53" s="299"/>
      <c r="G53" s="299"/>
      <c r="H53" s="299"/>
      <c r="I53" s="299"/>
      <c r="J53" s="299"/>
      <c r="K53" s="299"/>
      <c r="L53" s="299"/>
      <c r="M53" s="299"/>
      <c r="N53" s="300"/>
      <c r="O53" s="95"/>
      <c r="P53" s="414" t="s">
        <v>99</v>
      </c>
      <c r="Q53" s="414"/>
      <c r="R53" s="414"/>
      <c r="S53" s="414"/>
      <c r="T53" s="414"/>
      <c r="U53" s="414"/>
      <c r="V53" s="96"/>
      <c r="W53" s="414" t="s">
        <v>100</v>
      </c>
      <c r="X53" s="414"/>
      <c r="Y53" s="414"/>
      <c r="Z53" s="414"/>
      <c r="AA53" s="414"/>
      <c r="AB53" s="415"/>
      <c r="AC53" s="42"/>
    </row>
    <row r="54" spans="1:37" ht="20.149999999999999" customHeight="1">
      <c r="A54" s="199" t="s">
        <v>101</v>
      </c>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c r="AA54" s="200"/>
      <c r="AB54" s="279"/>
      <c r="AC54" s="42"/>
    </row>
    <row r="55" spans="1:37" ht="20.149999999999999" customHeight="1">
      <c r="A55" s="301" t="s">
        <v>102</v>
      </c>
      <c r="B55" s="302"/>
      <c r="C55" s="302"/>
      <c r="D55" s="302"/>
      <c r="E55" s="97"/>
      <c r="F55" s="109" t="s">
        <v>103</v>
      </c>
      <c r="G55" s="109"/>
      <c r="H55" s="109"/>
      <c r="I55" s="109"/>
      <c r="J55" s="109" t="s">
        <v>104</v>
      </c>
      <c r="K55" s="109"/>
      <c r="L55" s="103"/>
      <c r="M55" s="303" t="s">
        <v>105</v>
      </c>
      <c r="N55" s="152"/>
      <c r="O55" s="152"/>
      <c r="P55" s="304"/>
      <c r="Q55" s="97"/>
      <c r="R55" s="109" t="s">
        <v>106</v>
      </c>
      <c r="S55" s="109"/>
      <c r="T55" s="109"/>
      <c r="U55" s="109"/>
      <c r="V55" s="109"/>
      <c r="W55" s="109" t="s">
        <v>107</v>
      </c>
      <c r="X55" s="109"/>
      <c r="Y55" s="109"/>
      <c r="Z55" s="109"/>
      <c r="AA55" s="109"/>
      <c r="AB55" s="110"/>
      <c r="AC55" s="42"/>
    </row>
    <row r="56" spans="1:37" s="9" customFormat="1" ht="20.149999999999999" customHeight="1">
      <c r="A56" s="318" t="s">
        <v>108</v>
      </c>
      <c r="B56" s="152"/>
      <c r="C56" s="152"/>
      <c r="D56" s="304"/>
      <c r="E56" s="98"/>
      <c r="F56" s="99" t="s">
        <v>109</v>
      </c>
      <c r="G56" s="99"/>
      <c r="H56" s="100"/>
      <c r="I56" s="99" t="s">
        <v>110</v>
      </c>
      <c r="J56" s="100"/>
      <c r="K56" s="100"/>
      <c r="L56" s="99" t="s">
        <v>111</v>
      </c>
      <c r="M56" s="100"/>
      <c r="N56" s="101"/>
      <c r="O56" s="99" t="s">
        <v>112</v>
      </c>
      <c r="P56" s="100"/>
      <c r="Q56" s="101"/>
      <c r="R56" s="99" t="s">
        <v>113</v>
      </c>
      <c r="S56" s="101"/>
      <c r="T56" s="99"/>
      <c r="U56" s="99" t="s">
        <v>114</v>
      </c>
      <c r="V56" s="101"/>
      <c r="W56" s="101"/>
      <c r="X56" s="99" t="s">
        <v>115</v>
      </c>
      <c r="Y56" s="100"/>
      <c r="Z56" s="99"/>
      <c r="AA56" s="99" t="s">
        <v>116</v>
      </c>
      <c r="AB56" s="102"/>
      <c r="AC56" s="43"/>
    </row>
    <row r="57" spans="1:37" s="9" customFormat="1" ht="20.149999999999999" customHeight="1">
      <c r="A57" s="172" t="s">
        <v>117</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305"/>
      <c r="AC57" s="43"/>
    </row>
    <row r="58" spans="1:37" s="9" customFormat="1" ht="20.149999999999999" customHeight="1">
      <c r="A58" s="321" t="s">
        <v>118</v>
      </c>
      <c r="B58" s="322"/>
      <c r="C58" s="323"/>
      <c r="D58" s="394" t="s">
        <v>119</v>
      </c>
      <c r="E58" s="394"/>
      <c r="F58" s="394"/>
      <c r="G58" s="394"/>
      <c r="H58" s="394"/>
      <c r="I58" s="394"/>
      <c r="J58" s="394"/>
      <c r="K58" s="394"/>
      <c r="L58" s="394"/>
      <c r="M58" s="394"/>
      <c r="N58" s="394"/>
      <c r="O58" s="394"/>
      <c r="P58" s="394"/>
      <c r="Q58" s="394"/>
      <c r="R58" s="394"/>
      <c r="S58" s="394"/>
      <c r="T58" s="394"/>
      <c r="U58" s="394"/>
      <c r="V58" s="394"/>
      <c r="W58" s="394"/>
      <c r="X58" s="395"/>
      <c r="Y58" s="396" t="s">
        <v>120</v>
      </c>
      <c r="Z58" s="396"/>
      <c r="AA58" s="396"/>
      <c r="AB58" s="397"/>
      <c r="AC58" s="43"/>
    </row>
    <row r="59" spans="1:37" s="11" customFormat="1" ht="20.149999999999999" customHeight="1">
      <c r="A59" s="285" t="s">
        <v>121</v>
      </c>
      <c r="B59" s="286"/>
      <c r="C59" s="286"/>
      <c r="D59" s="398" t="s">
        <v>122</v>
      </c>
      <c r="E59" s="399"/>
      <c r="F59" s="399"/>
      <c r="G59" s="399"/>
      <c r="H59" s="399"/>
      <c r="I59" s="399"/>
      <c r="J59" s="399"/>
      <c r="K59" s="399"/>
      <c r="L59" s="399"/>
      <c r="M59" s="400"/>
      <c r="N59" s="399" t="s">
        <v>123</v>
      </c>
      <c r="O59" s="399"/>
      <c r="P59" s="399"/>
      <c r="Q59" s="399"/>
      <c r="R59" s="399"/>
      <c r="S59" s="399"/>
      <c r="T59" s="399"/>
      <c r="U59" s="399"/>
      <c r="V59" s="399"/>
      <c r="W59" s="399"/>
      <c r="X59" s="404"/>
      <c r="Y59" s="406" t="s">
        <v>120</v>
      </c>
      <c r="Z59" s="406"/>
      <c r="AA59" s="406"/>
      <c r="AB59" s="407"/>
      <c r="AC59" s="42"/>
    </row>
    <row r="60" spans="1:37" s="11" customFormat="1" ht="20.149999999999999" customHeight="1">
      <c r="A60" s="285"/>
      <c r="B60" s="286"/>
      <c r="C60" s="286"/>
      <c r="D60" s="401"/>
      <c r="E60" s="402"/>
      <c r="F60" s="402"/>
      <c r="G60" s="402"/>
      <c r="H60" s="402"/>
      <c r="I60" s="402"/>
      <c r="J60" s="402"/>
      <c r="K60" s="402"/>
      <c r="L60" s="402"/>
      <c r="M60" s="403"/>
      <c r="N60" s="402"/>
      <c r="O60" s="402"/>
      <c r="P60" s="402"/>
      <c r="Q60" s="402"/>
      <c r="R60" s="402"/>
      <c r="S60" s="402"/>
      <c r="T60" s="402"/>
      <c r="U60" s="402"/>
      <c r="V60" s="402"/>
      <c r="W60" s="402"/>
      <c r="X60" s="405"/>
      <c r="Y60" s="408"/>
      <c r="Z60" s="408"/>
      <c r="AA60" s="408"/>
      <c r="AB60" s="409"/>
      <c r="AC60" s="42"/>
    </row>
    <row r="61" spans="1:37" s="11" customFormat="1" ht="20.149999999999999" customHeight="1">
      <c r="A61" s="285"/>
      <c r="B61" s="286"/>
      <c r="C61" s="286"/>
      <c r="D61" s="412" t="s">
        <v>124</v>
      </c>
      <c r="E61" s="413"/>
      <c r="F61" s="413"/>
      <c r="G61" s="413"/>
      <c r="H61" s="413"/>
      <c r="I61" s="413"/>
      <c r="J61" s="413"/>
      <c r="K61" s="413"/>
      <c r="L61" s="413"/>
      <c r="M61" s="413"/>
      <c r="N61" s="413"/>
      <c r="O61" s="413"/>
      <c r="P61" s="413"/>
      <c r="Q61" s="413"/>
      <c r="R61" s="413"/>
      <c r="S61" s="413"/>
      <c r="T61" s="413"/>
      <c r="U61" s="413"/>
      <c r="V61" s="413"/>
      <c r="W61" s="413"/>
      <c r="X61" s="413"/>
      <c r="Y61" s="410"/>
      <c r="Z61" s="410"/>
      <c r="AA61" s="410"/>
      <c r="AB61" s="411"/>
      <c r="AC61" s="42"/>
    </row>
    <row r="62" spans="1:37" ht="20.149999999999999" customHeight="1">
      <c r="A62" s="293" t="s">
        <v>125</v>
      </c>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5"/>
      <c r="AC62" s="42"/>
    </row>
    <row r="63" spans="1:37" ht="20.149999999999999" customHeight="1">
      <c r="A63" s="229" t="s">
        <v>126</v>
      </c>
      <c r="B63" s="230"/>
      <c r="C63" s="230"/>
      <c r="D63" s="230"/>
      <c r="E63" s="230"/>
      <c r="F63" s="217" t="s">
        <v>57</v>
      </c>
      <c r="G63" s="218"/>
      <c r="H63" s="218"/>
      <c r="I63" s="383" t="s">
        <v>152</v>
      </c>
      <c r="J63" s="384"/>
      <c r="K63" s="384"/>
      <c r="L63" s="384"/>
      <c r="M63" s="384"/>
      <c r="N63" s="384"/>
      <c r="O63" s="384"/>
      <c r="P63" s="384"/>
      <c r="Q63" s="385"/>
      <c r="R63" s="217" t="s">
        <v>57</v>
      </c>
      <c r="S63" s="218"/>
      <c r="T63" s="219"/>
      <c r="U63" s="390" t="s">
        <v>144</v>
      </c>
      <c r="V63" s="390"/>
      <c r="W63" s="390"/>
      <c r="X63" s="390"/>
      <c r="Y63" s="390"/>
      <c r="Z63" s="390"/>
      <c r="AA63" s="390"/>
      <c r="AB63" s="391"/>
      <c r="AC63" s="59"/>
      <c r="AD63" s="28"/>
      <c r="AE63" s="28"/>
      <c r="AF63" s="28"/>
      <c r="AG63" s="28"/>
    </row>
    <row r="64" spans="1:37" s="9" customFormat="1" ht="20.149999999999999" customHeight="1">
      <c r="A64" s="231"/>
      <c r="B64" s="232"/>
      <c r="C64" s="232"/>
      <c r="D64" s="232"/>
      <c r="E64" s="232"/>
      <c r="F64" s="220" t="s">
        <v>153</v>
      </c>
      <c r="G64" s="221"/>
      <c r="H64" s="221"/>
      <c r="I64" s="383" t="s">
        <v>154</v>
      </c>
      <c r="J64" s="384"/>
      <c r="K64" s="384"/>
      <c r="L64" s="384"/>
      <c r="M64" s="384"/>
      <c r="N64" s="384"/>
      <c r="O64" s="384"/>
      <c r="P64" s="384"/>
      <c r="Q64" s="385"/>
      <c r="R64" s="220" t="s">
        <v>155</v>
      </c>
      <c r="S64" s="221"/>
      <c r="T64" s="222"/>
      <c r="U64" s="392" t="s">
        <v>156</v>
      </c>
      <c r="V64" s="392"/>
      <c r="W64" s="392"/>
      <c r="X64" s="392"/>
      <c r="Y64" s="392"/>
      <c r="Z64" s="392"/>
      <c r="AA64" s="392"/>
      <c r="AB64" s="393"/>
      <c r="AC64" s="60"/>
      <c r="AD64" s="30"/>
      <c r="AE64" s="29"/>
      <c r="AF64" s="29"/>
      <c r="AG64" s="29"/>
    </row>
    <row r="65" spans="1:33" s="9" customFormat="1" ht="20.149999999999999" customHeight="1">
      <c r="A65" s="233"/>
      <c r="B65" s="234"/>
      <c r="C65" s="234"/>
      <c r="D65" s="234"/>
      <c r="E65" s="234"/>
      <c r="F65" s="235" t="s">
        <v>129</v>
      </c>
      <c r="G65" s="236"/>
      <c r="H65" s="236"/>
      <c r="I65" s="383" t="s">
        <v>157</v>
      </c>
      <c r="J65" s="384"/>
      <c r="K65" s="384"/>
      <c r="L65" s="384"/>
      <c r="M65" s="384"/>
      <c r="N65" s="384"/>
      <c r="O65" s="385"/>
      <c r="P65" s="235" t="s">
        <v>62</v>
      </c>
      <c r="Q65" s="236"/>
      <c r="R65" s="255"/>
      <c r="S65" s="386" t="s">
        <v>158</v>
      </c>
      <c r="T65" s="384"/>
      <c r="U65" s="384"/>
      <c r="V65" s="384"/>
      <c r="W65" s="384"/>
      <c r="X65" s="384"/>
      <c r="Y65" s="384"/>
      <c r="Z65" s="384"/>
      <c r="AA65" s="384"/>
      <c r="AB65" s="387"/>
      <c r="AC65" s="60"/>
      <c r="AD65" s="29"/>
      <c r="AE65" s="29"/>
      <c r="AF65" s="29"/>
      <c r="AG65" s="29"/>
    </row>
    <row r="66" spans="1:33" s="9" customFormat="1" ht="20.149999999999999" customHeight="1">
      <c r="A66" s="172" t="s">
        <v>130</v>
      </c>
      <c r="B66" s="173"/>
      <c r="C66" s="173"/>
      <c r="D66" s="173"/>
      <c r="E66" s="173"/>
      <c r="F66" s="173"/>
      <c r="G66" s="173"/>
      <c r="H66" s="173"/>
      <c r="I66" s="173"/>
      <c r="J66" s="173"/>
      <c r="K66" s="173"/>
      <c r="L66" s="173"/>
      <c r="M66" s="173"/>
      <c r="N66" s="173"/>
      <c r="O66" s="173"/>
      <c r="P66" s="173"/>
      <c r="Q66" s="173"/>
      <c r="R66" s="173"/>
      <c r="S66" s="173"/>
      <c r="T66" s="173"/>
      <c r="U66" s="173"/>
      <c r="V66" s="173"/>
      <c r="W66" s="173"/>
      <c r="X66" s="174"/>
      <c r="Y66" s="104"/>
      <c r="Z66" s="388" t="s">
        <v>131</v>
      </c>
      <c r="AA66" s="388"/>
      <c r="AB66" s="389"/>
      <c r="AC66" s="43"/>
    </row>
    <row r="67" spans="1:33" s="9" customFormat="1" ht="20.149999999999999" customHeight="1">
      <c r="A67" s="374" t="s">
        <v>132</v>
      </c>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c r="AA67" s="375"/>
      <c r="AB67" s="376"/>
      <c r="AC67" s="43"/>
    </row>
    <row r="68" spans="1:33" s="9" customFormat="1" ht="20.149999999999999" customHeight="1">
      <c r="A68" s="377"/>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9"/>
      <c r="AC68" s="43"/>
    </row>
    <row r="69" spans="1:33" s="9" customFormat="1" ht="20.149999999999999" customHeight="1">
      <c r="A69" s="377"/>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9"/>
      <c r="AC69" s="43"/>
    </row>
    <row r="70" spans="1:33" s="9" customFormat="1" ht="20.149999999999999" customHeight="1">
      <c r="A70" s="377"/>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c r="AA70" s="378"/>
      <c r="AB70" s="379"/>
      <c r="AC70" s="43"/>
    </row>
    <row r="71" spans="1:33" s="9" customFormat="1" ht="20.149999999999999" customHeight="1">
      <c r="A71" s="377"/>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9"/>
      <c r="AC71" s="43"/>
    </row>
    <row r="72" spans="1:33" s="9" customFormat="1" ht="20.149999999999999" customHeight="1">
      <c r="A72" s="377"/>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9"/>
      <c r="AC72" s="43"/>
    </row>
    <row r="73" spans="1:33" s="9" customFormat="1" ht="20.149999999999999" customHeight="1">
      <c r="A73" s="377"/>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c r="AA73" s="378"/>
      <c r="AB73" s="379"/>
      <c r="AC73" s="43"/>
    </row>
    <row r="74" spans="1:33" s="9" customFormat="1" ht="20.149999999999999" customHeight="1">
      <c r="A74" s="377"/>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9"/>
      <c r="AC74" s="43"/>
    </row>
    <row r="75" spans="1:33" s="9" customFormat="1" ht="20.149999999999999" customHeight="1">
      <c r="A75" s="377"/>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c r="AA75" s="378"/>
      <c r="AB75" s="379"/>
      <c r="AC75" s="43"/>
    </row>
    <row r="76" spans="1:33" s="9" customFormat="1" ht="20.149999999999999" customHeight="1">
      <c r="A76" s="377"/>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c r="AA76" s="378"/>
      <c r="AB76" s="379"/>
      <c r="AC76" s="43"/>
    </row>
    <row r="77" spans="1:33" s="9" customFormat="1" ht="20.149999999999999" customHeight="1">
      <c r="A77" s="377"/>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c r="AA77" s="378"/>
      <c r="AB77" s="379"/>
      <c r="AC77" s="43"/>
    </row>
    <row r="78" spans="1:33" s="9" customFormat="1" ht="20.149999999999999" customHeight="1">
      <c r="A78" s="377"/>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9"/>
      <c r="AC78" s="43"/>
    </row>
    <row r="79" spans="1:33" s="9" customFormat="1" ht="20.149999999999999" customHeight="1">
      <c r="A79" s="377"/>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9"/>
      <c r="AC79" s="43"/>
    </row>
    <row r="80" spans="1:33" s="9" customFormat="1" ht="20.149999999999999" customHeight="1">
      <c r="A80" s="377"/>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9"/>
      <c r="AC80" s="43"/>
    </row>
    <row r="81" spans="1:29" s="9" customFormat="1" ht="20.149999999999999" customHeight="1">
      <c r="A81" s="377"/>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9"/>
      <c r="AC81" s="43"/>
    </row>
    <row r="82" spans="1:29" s="9" customFormat="1" ht="20.149999999999999" customHeight="1">
      <c r="A82" s="377"/>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9"/>
      <c r="AC82" s="43"/>
    </row>
    <row r="83" spans="1:29" s="9" customFormat="1" ht="20.149999999999999" customHeight="1">
      <c r="A83" s="377"/>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9"/>
      <c r="AC83" s="43"/>
    </row>
    <row r="84" spans="1:29" s="9" customFormat="1" ht="20.149999999999999" customHeight="1">
      <c r="A84" s="377"/>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9"/>
      <c r="AC84" s="43"/>
    </row>
    <row r="85" spans="1:29" s="9" customFormat="1" ht="20.149999999999999" customHeight="1">
      <c r="A85" s="377"/>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9"/>
      <c r="AC85" s="43"/>
    </row>
    <row r="86" spans="1:29" s="9" customFormat="1" ht="20.149999999999999" customHeight="1">
      <c r="A86" s="377"/>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9"/>
      <c r="AC86" s="43"/>
    </row>
    <row r="87" spans="1:29" s="9" customFormat="1" ht="20.149999999999999" customHeight="1">
      <c r="A87" s="377"/>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9"/>
      <c r="AC87" s="43"/>
    </row>
    <row r="88" spans="1:29" s="9" customFormat="1" ht="20.149999999999999" customHeight="1">
      <c r="A88" s="377"/>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9"/>
      <c r="AC88" s="43"/>
    </row>
    <row r="89" spans="1:29" s="9" customFormat="1" ht="20.149999999999999" customHeight="1">
      <c r="A89" s="377"/>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9"/>
      <c r="AC89" s="43"/>
    </row>
    <row r="90" spans="1:29" s="9" customFormat="1" ht="20.149999999999999" customHeight="1">
      <c r="A90" s="377"/>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9"/>
      <c r="AC90" s="43"/>
    </row>
    <row r="91" spans="1:29" s="9" customFormat="1" ht="20.149999999999999" customHeight="1">
      <c r="A91" s="377"/>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9"/>
      <c r="AC91" s="43"/>
    </row>
    <row r="92" spans="1:29" s="9" customFormat="1" ht="20.149999999999999" customHeight="1">
      <c r="A92" s="377"/>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9"/>
      <c r="AC92" s="43"/>
    </row>
    <row r="93" spans="1:29" s="9" customFormat="1" ht="20.149999999999999" customHeight="1">
      <c r="A93" s="377"/>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9"/>
      <c r="AC93" s="43"/>
    </row>
    <row r="94" spans="1:29" s="9" customFormat="1" ht="20.149999999999999" customHeight="1">
      <c r="A94" s="377"/>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9"/>
      <c r="AC94" s="43"/>
    </row>
    <row r="95" spans="1:29" s="9" customFormat="1" ht="20.149999999999999" customHeight="1">
      <c r="A95" s="377"/>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9"/>
      <c r="AC95" s="43"/>
    </row>
    <row r="96" spans="1:29" s="9" customFormat="1" ht="20.149999999999999" customHeight="1" thickBot="1">
      <c r="A96" s="380" t="s">
        <v>133</v>
      </c>
      <c r="B96" s="381"/>
      <c r="C96" s="381"/>
      <c r="D96" s="381"/>
      <c r="E96" s="381"/>
      <c r="F96" s="381"/>
      <c r="G96" s="381"/>
      <c r="H96" s="381"/>
      <c r="I96" s="381"/>
      <c r="J96" s="381"/>
      <c r="K96" s="381"/>
      <c r="L96" s="381"/>
      <c r="M96" s="381"/>
      <c r="N96" s="381"/>
      <c r="O96" s="381"/>
      <c r="P96" s="381"/>
      <c r="Q96" s="381"/>
      <c r="R96" s="381"/>
      <c r="S96" s="381"/>
      <c r="T96" s="381"/>
      <c r="U96" s="381"/>
      <c r="V96" s="381"/>
      <c r="W96" s="381"/>
      <c r="X96" s="381"/>
      <c r="Y96" s="381"/>
      <c r="Z96" s="381"/>
      <c r="AA96" s="381"/>
      <c r="AB96" s="382"/>
      <c r="AC96" s="43"/>
    </row>
  </sheetData>
  <sheetProtection algorithmName="SHA-512" hashValue="7uaxibEhlx19xLHLWYoBwcxXqNomiU6Qi/+5xZvTPQyGcOgWbaY8+KmwEiDtKBxjpGbGt2MZpAeu4wpKvg022Q==" saltValue="0F0ioGoHTupL8DNomHjjpQ==" spinCount="100000" sheet="1" objects="1" scenarios="1" selectLockedCells="1" selectUnlockedCells="1"/>
  <mergeCells count="152">
    <mergeCell ref="A1:G1"/>
    <mergeCell ref="Z1:AB1"/>
    <mergeCell ref="A2:G2"/>
    <mergeCell ref="H2:U2"/>
    <mergeCell ref="X2:AB2"/>
    <mergeCell ref="A3:AB3"/>
    <mergeCell ref="A4:AB4"/>
    <mergeCell ref="A5:AB5"/>
    <mergeCell ref="G11:AB12"/>
    <mergeCell ref="A16:AB16"/>
    <mergeCell ref="A19:AB19"/>
    <mergeCell ref="A20:D22"/>
    <mergeCell ref="E20:F20"/>
    <mergeCell ref="G20:P20"/>
    <mergeCell ref="Q20:S20"/>
    <mergeCell ref="T20:AB20"/>
    <mergeCell ref="E21:P22"/>
    <mergeCell ref="Q21:AB22"/>
    <mergeCell ref="A27:D27"/>
    <mergeCell ref="E27:Q27"/>
    <mergeCell ref="S27:AB27"/>
    <mergeCell ref="A28:AB28"/>
    <mergeCell ref="M25:O25"/>
    <mergeCell ref="P25:T25"/>
    <mergeCell ref="V25:X25"/>
    <mergeCell ref="Z25:AB25"/>
    <mergeCell ref="A26:D26"/>
    <mergeCell ref="F26:G26"/>
    <mergeCell ref="K26:M26"/>
    <mergeCell ref="N26:P26"/>
    <mergeCell ref="R26:T26"/>
    <mergeCell ref="U26:V26"/>
    <mergeCell ref="A23:D25"/>
    <mergeCell ref="E23:G23"/>
    <mergeCell ref="H23:I23"/>
    <mergeCell ref="J23:AB23"/>
    <mergeCell ref="E24:G24"/>
    <mergeCell ref="H24:AB24"/>
    <mergeCell ref="E25:G25"/>
    <mergeCell ref="H25:L25"/>
    <mergeCell ref="X26:Y26"/>
    <mergeCell ref="Z26:AA26"/>
    <mergeCell ref="A31:D31"/>
    <mergeCell ref="E31:N31"/>
    <mergeCell ref="O31:R31"/>
    <mergeCell ref="S31:AB31"/>
    <mergeCell ref="A32:D32"/>
    <mergeCell ref="E32:W32"/>
    <mergeCell ref="X32:AB32"/>
    <mergeCell ref="A29:D30"/>
    <mergeCell ref="E29:G29"/>
    <mergeCell ref="H29:P29"/>
    <mergeCell ref="Q29:S29"/>
    <mergeCell ref="T29:AB29"/>
    <mergeCell ref="E30:G30"/>
    <mergeCell ref="H30:P30"/>
    <mergeCell ref="Q30:S30"/>
    <mergeCell ref="T30:AB30"/>
    <mergeCell ref="T37:AB37"/>
    <mergeCell ref="A38:D38"/>
    <mergeCell ref="E38:N38"/>
    <mergeCell ref="O38:R38"/>
    <mergeCell ref="S38:AB38"/>
    <mergeCell ref="A39:D39"/>
    <mergeCell ref="E39:W39"/>
    <mergeCell ref="X39:AB39"/>
    <mergeCell ref="A33:AB34"/>
    <mergeCell ref="A35:AB35"/>
    <mergeCell ref="A36:D37"/>
    <mergeCell ref="E36:G36"/>
    <mergeCell ref="H36:P36"/>
    <mergeCell ref="Q36:S36"/>
    <mergeCell ref="T36:AB36"/>
    <mergeCell ref="E37:G37"/>
    <mergeCell ref="H37:P37"/>
    <mergeCell ref="Q37:S37"/>
    <mergeCell ref="A40:AB40"/>
    <mergeCell ref="A41:D44"/>
    <mergeCell ref="E41:G41"/>
    <mergeCell ref="H41:P41"/>
    <mergeCell ref="Q41:U41"/>
    <mergeCell ref="V41:W41"/>
    <mergeCell ref="X41:AB43"/>
    <mergeCell ref="E42:G42"/>
    <mergeCell ref="H42:P42"/>
    <mergeCell ref="Q42:U42"/>
    <mergeCell ref="X44:AB44"/>
    <mergeCell ref="A45:D45"/>
    <mergeCell ref="E45:G45"/>
    <mergeCell ref="H45:P45"/>
    <mergeCell ref="Q45:U45"/>
    <mergeCell ref="V45:W45"/>
    <mergeCell ref="X45:AB45"/>
    <mergeCell ref="V42:W42"/>
    <mergeCell ref="E43:G43"/>
    <mergeCell ref="H43:P43"/>
    <mergeCell ref="Q43:U43"/>
    <mergeCell ref="V43:W43"/>
    <mergeCell ref="E44:G44"/>
    <mergeCell ref="H44:P44"/>
    <mergeCell ref="Q44:U44"/>
    <mergeCell ref="V44:W44"/>
    <mergeCell ref="A46:P46"/>
    <mergeCell ref="Q46:U46"/>
    <mergeCell ref="X46:AB46"/>
    <mergeCell ref="A47:Y47"/>
    <mergeCell ref="Z47:AB47"/>
    <mergeCell ref="A48:D49"/>
    <mergeCell ref="E48:H48"/>
    <mergeCell ref="I48:T48"/>
    <mergeCell ref="V48:AB51"/>
    <mergeCell ref="E49:H49"/>
    <mergeCell ref="A53:N53"/>
    <mergeCell ref="P53:U53"/>
    <mergeCell ref="W53:AB53"/>
    <mergeCell ref="A54:AB54"/>
    <mergeCell ref="A55:D55"/>
    <mergeCell ref="M55:P55"/>
    <mergeCell ref="I49:T49"/>
    <mergeCell ref="A50:H50"/>
    <mergeCell ref="I50:T50"/>
    <mergeCell ref="A51:H51"/>
    <mergeCell ref="I51:T51"/>
    <mergeCell ref="A52:AB52"/>
    <mergeCell ref="A56:D56"/>
    <mergeCell ref="A57:AB57"/>
    <mergeCell ref="A58:C58"/>
    <mergeCell ref="D58:X58"/>
    <mergeCell ref="Y58:AB58"/>
    <mergeCell ref="A59:C61"/>
    <mergeCell ref="D59:M60"/>
    <mergeCell ref="N59:X60"/>
    <mergeCell ref="Y59:AB61"/>
    <mergeCell ref="D61:X61"/>
    <mergeCell ref="A67:AB95"/>
    <mergeCell ref="A96:AB96"/>
    <mergeCell ref="F65:H65"/>
    <mergeCell ref="I65:O65"/>
    <mergeCell ref="P65:R65"/>
    <mergeCell ref="S65:AB65"/>
    <mergeCell ref="A66:X66"/>
    <mergeCell ref="Z66:AB66"/>
    <mergeCell ref="A62:AB62"/>
    <mergeCell ref="A63:E65"/>
    <mergeCell ref="F63:H63"/>
    <mergeCell ref="I63:Q63"/>
    <mergeCell ref="R63:T63"/>
    <mergeCell ref="U63:AB63"/>
    <mergeCell ref="F64:H64"/>
    <mergeCell ref="I64:Q64"/>
    <mergeCell ref="R64:T64"/>
    <mergeCell ref="U64:AB64"/>
  </mergeCells>
  <phoneticPr fontId="2"/>
  <dataValidations count="1">
    <dataValidation type="custom" allowBlank="1" showInputMessage="1" showErrorMessage="1" error="最大利用額（全サービス合計金額）は、平均利用合計金額以上の金額でご入力お願いします。" sqref="Q45:U45" xr:uid="{1798FF1F-75E9-41B9-840D-E7F5D83D4665}">
      <formula1>Q45&gt;X44</formula1>
    </dataValidation>
  </dataValidations>
  <hyperlinks>
    <hyperlink ref="AG2" r:id="rId1" xr:uid="{AF2241E4-3B40-4387-BB04-E498D318CE8F}"/>
    <hyperlink ref="AG3" r:id="rId2" xr:uid="{773C63B1-548E-49C3-9928-76D50C8E3DE6}"/>
    <hyperlink ref="AG4" r:id="rId3" xr:uid="{B23FB4E1-37DA-44E3-BFBA-BFE5F65742C1}"/>
    <hyperlink ref="E27" r:id="rId4" xr:uid="{5B2F1333-6FDB-4069-9E6D-F4EB318043D9}"/>
    <hyperlink ref="E32" r:id="rId5" xr:uid="{E32BE1EC-3A05-4792-B408-54EC02667857}"/>
    <hyperlink ref="S65" r:id="rId6" xr:uid="{4A92FE23-F814-4B90-89E9-203029172395}"/>
  </hyperlinks>
  <printOptions horizontalCentered="1" verticalCentered="1"/>
  <pageMargins left="0.19685039370078741" right="0.19685039370078741" top="0.19685039370078741" bottom="0.19685039370078741" header="0.31496062992125984" footer="0.31496062992125984"/>
  <pageSetup paperSize="9" scale="83" fitToHeight="2" orientation="portrait" r:id="rId7"/>
  <rowBreaks count="1" manualBreakCount="1">
    <brk id="46" max="27" man="1"/>
  </rowBreaks>
  <colBreaks count="1" manualBreakCount="1">
    <brk id="28" max="94" man="1"/>
  </colBreaks>
  <customProperties>
    <customPr name="ORB_SHEETNAME" r:id="rId8"/>
  </customProperties>
  <drawing r:id="rId9"/>
  <legacyDrawing r:id="rId10"/>
  <mc:AlternateContent xmlns:mc="http://schemas.openxmlformats.org/markup-compatibility/2006">
    <mc:Choice Requires="x14">
      <controls>
        <mc:AlternateContent xmlns:mc="http://schemas.openxmlformats.org/markup-compatibility/2006">
          <mc:Choice Requires="x14">
            <control shapeId="6145" r:id="rId11" name="Check Box 1">
              <controlPr defaultSize="0" autoFill="0" autoLine="0" autoPict="0">
                <anchor moveWithCells="1">
                  <from>
                    <xdr:col>0</xdr:col>
                    <xdr:colOff>38100</xdr:colOff>
                    <xdr:row>5</xdr:row>
                    <xdr:rowOff>12700</xdr:rowOff>
                  </from>
                  <to>
                    <xdr:col>1</xdr:col>
                    <xdr:colOff>38100</xdr:colOff>
                    <xdr:row>6</xdr:row>
                    <xdr:rowOff>38100</xdr:rowOff>
                  </to>
                </anchor>
              </controlPr>
            </control>
          </mc:Choice>
        </mc:AlternateContent>
        <mc:AlternateContent xmlns:mc="http://schemas.openxmlformats.org/markup-compatibility/2006">
          <mc:Choice Requires="x14">
            <control shapeId="6146" r:id="rId12" name="Check Box 2">
              <controlPr defaultSize="0" autoFill="0" autoLine="0" autoPict="0">
                <anchor moveWithCells="1">
                  <from>
                    <xdr:col>0</xdr:col>
                    <xdr:colOff>38100</xdr:colOff>
                    <xdr:row>16</xdr:row>
                    <xdr:rowOff>0</xdr:rowOff>
                  </from>
                  <to>
                    <xdr:col>1</xdr:col>
                    <xdr:colOff>38100</xdr:colOff>
                    <xdr:row>17</xdr:row>
                    <xdr:rowOff>12700</xdr:rowOff>
                  </to>
                </anchor>
              </controlPr>
            </control>
          </mc:Choice>
        </mc:AlternateContent>
        <mc:AlternateContent xmlns:mc="http://schemas.openxmlformats.org/markup-compatibility/2006">
          <mc:Choice Requires="x14">
            <control shapeId="6147" r:id="rId13" name="Check Box 3">
              <controlPr defaultSize="0" autoFill="0" autoLine="0" autoPict="0">
                <anchor moveWithCells="1">
                  <from>
                    <xdr:col>20</xdr:col>
                    <xdr:colOff>38100</xdr:colOff>
                    <xdr:row>24</xdr:row>
                    <xdr:rowOff>12700</xdr:rowOff>
                  </from>
                  <to>
                    <xdr:col>21</xdr:col>
                    <xdr:colOff>0</xdr:colOff>
                    <xdr:row>25</xdr:row>
                    <xdr:rowOff>12700</xdr:rowOff>
                  </to>
                </anchor>
              </controlPr>
            </control>
          </mc:Choice>
        </mc:AlternateContent>
        <mc:AlternateContent xmlns:mc="http://schemas.openxmlformats.org/markup-compatibility/2006">
          <mc:Choice Requires="x14">
            <control shapeId="6148" r:id="rId14" name="Check Box 4">
              <controlPr defaultSize="0" autoFill="0" autoLine="0" autoPict="0">
                <anchor moveWithCells="1">
                  <from>
                    <xdr:col>24</xdr:col>
                    <xdr:colOff>25400</xdr:colOff>
                    <xdr:row>24</xdr:row>
                    <xdr:rowOff>12700</xdr:rowOff>
                  </from>
                  <to>
                    <xdr:col>25</xdr:col>
                    <xdr:colOff>0</xdr:colOff>
                    <xdr:row>25</xdr:row>
                    <xdr:rowOff>12700</xdr:rowOff>
                  </to>
                </anchor>
              </controlPr>
            </control>
          </mc:Choice>
        </mc:AlternateContent>
        <mc:AlternateContent xmlns:mc="http://schemas.openxmlformats.org/markup-compatibility/2006">
          <mc:Choice Requires="x14">
            <control shapeId="6149" r:id="rId15" name="Check Box 5">
              <controlPr defaultSize="0" autoFill="0" autoLine="0" autoPict="0">
                <anchor moveWithCells="1">
                  <from>
                    <xdr:col>5</xdr:col>
                    <xdr:colOff>38100</xdr:colOff>
                    <xdr:row>16</xdr:row>
                    <xdr:rowOff>0</xdr:rowOff>
                  </from>
                  <to>
                    <xdr:col>6</xdr:col>
                    <xdr:colOff>0</xdr:colOff>
                    <xdr:row>17</xdr:row>
                    <xdr:rowOff>12700</xdr:rowOff>
                  </to>
                </anchor>
              </controlPr>
            </control>
          </mc:Choice>
        </mc:AlternateContent>
        <mc:AlternateContent xmlns:mc="http://schemas.openxmlformats.org/markup-compatibility/2006">
          <mc:Choice Requires="x14">
            <control shapeId="6150" r:id="rId16" name="Check Box 6">
              <controlPr defaultSize="0" autoFill="0" autoLine="0" autoPict="0">
                <anchor moveWithCells="1">
                  <from>
                    <xdr:col>12</xdr:col>
                    <xdr:colOff>38100</xdr:colOff>
                    <xdr:row>16</xdr:row>
                    <xdr:rowOff>0</xdr:rowOff>
                  </from>
                  <to>
                    <xdr:col>13</xdr:col>
                    <xdr:colOff>0</xdr:colOff>
                    <xdr:row>17</xdr:row>
                    <xdr:rowOff>12700</xdr:rowOff>
                  </to>
                </anchor>
              </controlPr>
            </control>
          </mc:Choice>
        </mc:AlternateContent>
        <mc:AlternateContent xmlns:mc="http://schemas.openxmlformats.org/markup-compatibility/2006">
          <mc:Choice Requires="x14">
            <control shapeId="6151" r:id="rId17" name="Check Box 7">
              <controlPr defaultSize="0" autoFill="0" autoLine="0" autoPict="0">
                <anchor moveWithCells="1">
                  <from>
                    <xdr:col>14</xdr:col>
                    <xdr:colOff>69850</xdr:colOff>
                    <xdr:row>52</xdr:row>
                    <xdr:rowOff>12700</xdr:rowOff>
                  </from>
                  <to>
                    <xdr:col>15</xdr:col>
                    <xdr:colOff>76200</xdr:colOff>
                    <xdr:row>53</xdr:row>
                    <xdr:rowOff>38100</xdr:rowOff>
                  </to>
                </anchor>
              </controlPr>
            </control>
          </mc:Choice>
        </mc:AlternateContent>
        <mc:AlternateContent xmlns:mc="http://schemas.openxmlformats.org/markup-compatibility/2006">
          <mc:Choice Requires="x14">
            <control shapeId="6152" r:id="rId18" name="Check Box 8">
              <controlPr defaultSize="0" autoFill="0" autoLine="0" autoPict="0">
                <anchor moveWithCells="1">
                  <from>
                    <xdr:col>21</xdr:col>
                    <xdr:colOff>69850</xdr:colOff>
                    <xdr:row>52</xdr:row>
                    <xdr:rowOff>12700</xdr:rowOff>
                  </from>
                  <to>
                    <xdr:col>22</xdr:col>
                    <xdr:colOff>76200</xdr:colOff>
                    <xdr:row>53</xdr:row>
                    <xdr:rowOff>38100</xdr:rowOff>
                  </to>
                </anchor>
              </controlPr>
            </control>
          </mc:Choice>
        </mc:AlternateContent>
        <mc:AlternateContent xmlns:mc="http://schemas.openxmlformats.org/markup-compatibility/2006">
          <mc:Choice Requires="x14">
            <control shapeId="6153" r:id="rId19" name="Check Box 9">
              <controlPr defaultSize="0" autoFill="0" autoLine="0" autoPict="0">
                <anchor moveWithCells="1">
                  <from>
                    <xdr:col>24</xdr:col>
                    <xdr:colOff>76200</xdr:colOff>
                    <xdr:row>57</xdr:row>
                    <xdr:rowOff>25400</xdr:rowOff>
                  </from>
                  <to>
                    <xdr:col>25</xdr:col>
                    <xdr:colOff>107950</xdr:colOff>
                    <xdr:row>58</xdr:row>
                    <xdr:rowOff>12700</xdr:rowOff>
                  </to>
                </anchor>
              </controlPr>
            </control>
          </mc:Choice>
        </mc:AlternateContent>
        <mc:AlternateContent xmlns:mc="http://schemas.openxmlformats.org/markup-compatibility/2006">
          <mc:Choice Requires="x14">
            <control shapeId="6154" r:id="rId20" name="Check Box 10">
              <controlPr defaultSize="0" autoFill="0" autoLine="0" autoPict="0">
                <anchor moveWithCells="1">
                  <from>
                    <xdr:col>14</xdr:col>
                    <xdr:colOff>38100</xdr:colOff>
                    <xdr:row>5</xdr:row>
                    <xdr:rowOff>0</xdr:rowOff>
                  </from>
                  <to>
                    <xdr:col>15</xdr:col>
                    <xdr:colOff>0</xdr:colOff>
                    <xdr:row>6</xdr:row>
                    <xdr:rowOff>12700</xdr:rowOff>
                  </to>
                </anchor>
              </controlPr>
            </control>
          </mc:Choice>
        </mc:AlternateContent>
        <mc:AlternateContent xmlns:mc="http://schemas.openxmlformats.org/markup-compatibility/2006">
          <mc:Choice Requires="x14">
            <control shapeId="6155" r:id="rId21" name="Check Box 11">
              <controlPr defaultSize="0" autoFill="0" autoLine="0" autoPict="0">
                <anchor moveWithCells="1">
                  <from>
                    <xdr:col>1</xdr:col>
                    <xdr:colOff>38100</xdr:colOff>
                    <xdr:row>7</xdr:row>
                    <xdr:rowOff>12700</xdr:rowOff>
                  </from>
                  <to>
                    <xdr:col>2</xdr:col>
                    <xdr:colOff>38100</xdr:colOff>
                    <xdr:row>8</xdr:row>
                    <xdr:rowOff>12700</xdr:rowOff>
                  </to>
                </anchor>
              </controlPr>
            </control>
          </mc:Choice>
        </mc:AlternateContent>
        <mc:AlternateContent xmlns:mc="http://schemas.openxmlformats.org/markup-compatibility/2006">
          <mc:Choice Requires="x14">
            <control shapeId="6156" r:id="rId22" name="Check Box 12">
              <controlPr defaultSize="0" autoFill="0" autoLine="0" autoPict="0">
                <anchor moveWithCells="1">
                  <from>
                    <xdr:col>1</xdr:col>
                    <xdr:colOff>38100</xdr:colOff>
                    <xdr:row>10</xdr:row>
                    <xdr:rowOff>0</xdr:rowOff>
                  </from>
                  <to>
                    <xdr:col>2</xdr:col>
                    <xdr:colOff>38100</xdr:colOff>
                    <xdr:row>11</xdr:row>
                    <xdr:rowOff>0</xdr:rowOff>
                  </to>
                </anchor>
              </controlPr>
            </control>
          </mc:Choice>
        </mc:AlternateContent>
        <mc:AlternateContent xmlns:mc="http://schemas.openxmlformats.org/markup-compatibility/2006">
          <mc:Choice Requires="x14">
            <control shapeId="6157" r:id="rId23" name="Check Box 13">
              <controlPr defaultSize="0" autoFill="0" autoLine="0" autoPict="0">
                <anchor moveWithCells="1">
                  <from>
                    <xdr:col>1</xdr:col>
                    <xdr:colOff>38100</xdr:colOff>
                    <xdr:row>10</xdr:row>
                    <xdr:rowOff>215900</xdr:rowOff>
                  </from>
                  <to>
                    <xdr:col>2</xdr:col>
                    <xdr:colOff>38100</xdr:colOff>
                    <xdr:row>11</xdr:row>
                    <xdr:rowOff>228600</xdr:rowOff>
                  </to>
                </anchor>
              </controlPr>
            </control>
          </mc:Choice>
        </mc:AlternateContent>
        <mc:AlternateContent xmlns:mc="http://schemas.openxmlformats.org/markup-compatibility/2006">
          <mc:Choice Requires="x14">
            <control shapeId="6158" r:id="rId24" name="Check Box 14">
              <controlPr defaultSize="0" autoFill="0" autoLine="0" autoPict="0">
                <anchor moveWithCells="1">
                  <from>
                    <xdr:col>4</xdr:col>
                    <xdr:colOff>63500</xdr:colOff>
                    <xdr:row>54</xdr:row>
                    <xdr:rowOff>38100</xdr:rowOff>
                  </from>
                  <to>
                    <xdr:col>5</xdr:col>
                    <xdr:colOff>69850</xdr:colOff>
                    <xdr:row>55</xdr:row>
                    <xdr:rowOff>31750</xdr:rowOff>
                  </to>
                </anchor>
              </controlPr>
            </control>
          </mc:Choice>
        </mc:AlternateContent>
        <mc:AlternateContent xmlns:mc="http://schemas.openxmlformats.org/markup-compatibility/2006">
          <mc:Choice Requires="x14">
            <control shapeId="6159" r:id="rId25" name="Check Box 15">
              <controlPr defaultSize="0" autoFill="0" autoLine="0" autoPict="0">
                <anchor moveWithCells="1">
                  <from>
                    <xdr:col>8</xdr:col>
                    <xdr:colOff>63500</xdr:colOff>
                    <xdr:row>54</xdr:row>
                    <xdr:rowOff>38100</xdr:rowOff>
                  </from>
                  <to>
                    <xdr:col>9</xdr:col>
                    <xdr:colOff>69850</xdr:colOff>
                    <xdr:row>55</xdr:row>
                    <xdr:rowOff>31750</xdr:rowOff>
                  </to>
                </anchor>
              </controlPr>
            </control>
          </mc:Choice>
        </mc:AlternateContent>
        <mc:AlternateContent xmlns:mc="http://schemas.openxmlformats.org/markup-compatibility/2006">
          <mc:Choice Requires="x14">
            <control shapeId="6160" r:id="rId26" name="Check Box 16">
              <controlPr defaultSize="0" autoFill="0" autoLine="0" autoPict="0">
                <anchor moveWithCells="1">
                  <from>
                    <xdr:col>16</xdr:col>
                    <xdr:colOff>63500</xdr:colOff>
                    <xdr:row>54</xdr:row>
                    <xdr:rowOff>31750</xdr:rowOff>
                  </from>
                  <to>
                    <xdr:col>17</xdr:col>
                    <xdr:colOff>69850</xdr:colOff>
                    <xdr:row>55</xdr:row>
                    <xdr:rowOff>31750</xdr:rowOff>
                  </to>
                </anchor>
              </controlPr>
            </control>
          </mc:Choice>
        </mc:AlternateContent>
        <mc:AlternateContent xmlns:mc="http://schemas.openxmlformats.org/markup-compatibility/2006">
          <mc:Choice Requires="x14">
            <control shapeId="6161" r:id="rId27" name="Check Box 17">
              <controlPr defaultSize="0" autoFill="0" autoLine="0" autoPict="0">
                <anchor moveWithCells="1">
                  <from>
                    <xdr:col>21</xdr:col>
                    <xdr:colOff>69850</xdr:colOff>
                    <xdr:row>54</xdr:row>
                    <xdr:rowOff>38100</xdr:rowOff>
                  </from>
                  <to>
                    <xdr:col>22</xdr:col>
                    <xdr:colOff>76200</xdr:colOff>
                    <xdr:row>55</xdr:row>
                    <xdr:rowOff>31750</xdr:rowOff>
                  </to>
                </anchor>
              </controlPr>
            </control>
          </mc:Choice>
        </mc:AlternateContent>
        <mc:AlternateContent xmlns:mc="http://schemas.openxmlformats.org/markup-compatibility/2006">
          <mc:Choice Requires="x14">
            <control shapeId="6162" r:id="rId28" name="Check Box 18">
              <controlPr defaultSize="0" autoFill="0" autoLine="0" autoPict="0">
                <anchor moveWithCells="1">
                  <from>
                    <xdr:col>4</xdr:col>
                    <xdr:colOff>63500</xdr:colOff>
                    <xdr:row>55</xdr:row>
                    <xdr:rowOff>31750</xdr:rowOff>
                  </from>
                  <to>
                    <xdr:col>5</xdr:col>
                    <xdr:colOff>69850</xdr:colOff>
                    <xdr:row>56</xdr:row>
                    <xdr:rowOff>38100</xdr:rowOff>
                  </to>
                </anchor>
              </controlPr>
            </control>
          </mc:Choice>
        </mc:AlternateContent>
        <mc:AlternateContent xmlns:mc="http://schemas.openxmlformats.org/markup-compatibility/2006">
          <mc:Choice Requires="x14">
            <control shapeId="6163" r:id="rId29" name="Check Box 19">
              <controlPr defaultSize="0" autoFill="0" autoLine="0" autoPict="0">
                <anchor moveWithCells="1">
                  <from>
                    <xdr:col>7</xdr:col>
                    <xdr:colOff>76200</xdr:colOff>
                    <xdr:row>55</xdr:row>
                    <xdr:rowOff>31750</xdr:rowOff>
                  </from>
                  <to>
                    <xdr:col>8</xdr:col>
                    <xdr:colOff>88900</xdr:colOff>
                    <xdr:row>56</xdr:row>
                    <xdr:rowOff>38100</xdr:rowOff>
                  </to>
                </anchor>
              </controlPr>
            </control>
          </mc:Choice>
        </mc:AlternateContent>
        <mc:AlternateContent xmlns:mc="http://schemas.openxmlformats.org/markup-compatibility/2006">
          <mc:Choice Requires="x14">
            <control shapeId="6164" r:id="rId30" name="Check Box 20">
              <controlPr defaultSize="0" autoFill="0" autoLine="0" autoPict="0">
                <anchor moveWithCells="1">
                  <from>
                    <xdr:col>10</xdr:col>
                    <xdr:colOff>69850</xdr:colOff>
                    <xdr:row>55</xdr:row>
                    <xdr:rowOff>63500</xdr:rowOff>
                  </from>
                  <to>
                    <xdr:col>11</xdr:col>
                    <xdr:colOff>0</xdr:colOff>
                    <xdr:row>56</xdr:row>
                    <xdr:rowOff>12700</xdr:rowOff>
                  </to>
                </anchor>
              </controlPr>
            </control>
          </mc:Choice>
        </mc:AlternateContent>
        <mc:AlternateContent xmlns:mc="http://schemas.openxmlformats.org/markup-compatibility/2006">
          <mc:Choice Requires="x14">
            <control shapeId="6165" r:id="rId31" name="Check Box 21">
              <controlPr defaultSize="0" autoFill="0" autoLine="0" autoPict="0">
                <anchor moveWithCells="1">
                  <from>
                    <xdr:col>13</xdr:col>
                    <xdr:colOff>38100</xdr:colOff>
                    <xdr:row>55</xdr:row>
                    <xdr:rowOff>31750</xdr:rowOff>
                  </from>
                  <to>
                    <xdr:col>14</xdr:col>
                    <xdr:colOff>50800</xdr:colOff>
                    <xdr:row>56</xdr:row>
                    <xdr:rowOff>38100</xdr:rowOff>
                  </to>
                </anchor>
              </controlPr>
            </control>
          </mc:Choice>
        </mc:AlternateContent>
        <mc:AlternateContent xmlns:mc="http://schemas.openxmlformats.org/markup-compatibility/2006">
          <mc:Choice Requires="x14">
            <control shapeId="6166" r:id="rId32" name="Check Box 22">
              <controlPr defaultSize="0" autoFill="0" autoLine="0" autoPict="0">
                <anchor moveWithCells="1">
                  <from>
                    <xdr:col>19</xdr:col>
                    <xdr:colOff>69850</xdr:colOff>
                    <xdr:row>55</xdr:row>
                    <xdr:rowOff>38100</xdr:rowOff>
                  </from>
                  <to>
                    <xdr:col>20</xdr:col>
                    <xdr:colOff>12700</xdr:colOff>
                    <xdr:row>56</xdr:row>
                    <xdr:rowOff>12700</xdr:rowOff>
                  </to>
                </anchor>
              </controlPr>
            </control>
          </mc:Choice>
        </mc:AlternateContent>
        <mc:AlternateContent xmlns:mc="http://schemas.openxmlformats.org/markup-compatibility/2006">
          <mc:Choice Requires="x14">
            <control shapeId="6167" r:id="rId33" name="Check Box 23">
              <controlPr defaultSize="0" autoFill="0" autoLine="0" autoPict="0">
                <anchor moveWithCells="1">
                  <from>
                    <xdr:col>22</xdr:col>
                    <xdr:colOff>38100</xdr:colOff>
                    <xdr:row>55</xdr:row>
                    <xdr:rowOff>38100</xdr:rowOff>
                  </from>
                  <to>
                    <xdr:col>23</xdr:col>
                    <xdr:colOff>50800</xdr:colOff>
                    <xdr:row>56</xdr:row>
                    <xdr:rowOff>38100</xdr:rowOff>
                  </to>
                </anchor>
              </controlPr>
            </control>
          </mc:Choice>
        </mc:AlternateContent>
        <mc:AlternateContent xmlns:mc="http://schemas.openxmlformats.org/markup-compatibility/2006">
          <mc:Choice Requires="x14">
            <control shapeId="6168" r:id="rId34" name="Check Box 24">
              <controlPr defaultSize="0" autoFill="0" autoLine="0" autoPict="0">
                <anchor moveWithCells="1">
                  <from>
                    <xdr:col>16</xdr:col>
                    <xdr:colOff>38100</xdr:colOff>
                    <xdr:row>55</xdr:row>
                    <xdr:rowOff>38100</xdr:rowOff>
                  </from>
                  <to>
                    <xdr:col>16</xdr:col>
                    <xdr:colOff>260350</xdr:colOff>
                    <xdr:row>56</xdr:row>
                    <xdr:rowOff>12700</xdr:rowOff>
                  </to>
                </anchor>
              </controlPr>
            </control>
          </mc:Choice>
        </mc:AlternateContent>
        <mc:AlternateContent xmlns:mc="http://schemas.openxmlformats.org/markup-compatibility/2006">
          <mc:Choice Requires="x14">
            <control shapeId="6169" r:id="rId35" name="Check Box 25">
              <controlPr defaultSize="0" autoFill="0" autoLine="0" autoPict="0">
                <anchor moveWithCells="1">
                  <from>
                    <xdr:col>24</xdr:col>
                    <xdr:colOff>88900</xdr:colOff>
                    <xdr:row>58</xdr:row>
                    <xdr:rowOff>254000</xdr:rowOff>
                  </from>
                  <to>
                    <xdr:col>25</xdr:col>
                    <xdr:colOff>114300</xdr:colOff>
                    <xdr:row>59</xdr:row>
                    <xdr:rowOff>241300</xdr:rowOff>
                  </to>
                </anchor>
              </controlPr>
            </control>
          </mc:Choice>
        </mc:AlternateContent>
        <mc:AlternateContent xmlns:mc="http://schemas.openxmlformats.org/markup-compatibility/2006">
          <mc:Choice Requires="x14">
            <control shapeId="6170" r:id="rId36" name="Check Box 26">
              <controlPr defaultSize="0" autoFill="0" autoLine="0" autoPict="0">
                <anchor moveWithCells="1">
                  <from>
                    <xdr:col>0</xdr:col>
                    <xdr:colOff>38100</xdr:colOff>
                    <xdr:row>63</xdr:row>
                    <xdr:rowOff>184150</xdr:rowOff>
                  </from>
                  <to>
                    <xdr:col>1</xdr:col>
                    <xdr:colOff>69850</xdr:colOff>
                    <xdr:row>64</xdr:row>
                    <xdr:rowOff>184150</xdr:rowOff>
                  </to>
                </anchor>
              </controlPr>
            </control>
          </mc:Choice>
        </mc:AlternateContent>
        <mc:AlternateContent xmlns:mc="http://schemas.openxmlformats.org/markup-compatibility/2006">
          <mc:Choice Requires="x14">
            <control shapeId="6171" r:id="rId37" name="Check Box 27">
              <controlPr defaultSize="0" autoFill="0" autoLine="0" autoPict="0">
                <anchor moveWithCells="1">
                  <from>
                    <xdr:col>0</xdr:col>
                    <xdr:colOff>38100</xdr:colOff>
                    <xdr:row>63</xdr:row>
                    <xdr:rowOff>0</xdr:rowOff>
                  </from>
                  <to>
                    <xdr:col>1</xdr:col>
                    <xdr:colOff>69850</xdr:colOff>
                    <xdr:row>64</xdr:row>
                    <xdr:rowOff>12700</xdr:rowOff>
                  </to>
                </anchor>
              </controlPr>
            </control>
          </mc:Choice>
        </mc:AlternateContent>
        <mc:AlternateContent xmlns:mc="http://schemas.openxmlformats.org/markup-compatibility/2006">
          <mc:Choice Requires="x14">
            <control shapeId="6172" r:id="rId38" name="Check Box 28">
              <controlPr defaultSize="0" autoFill="0" autoLine="0" autoPict="0">
                <anchor moveWithCells="1">
                  <from>
                    <xdr:col>25</xdr:col>
                    <xdr:colOff>38100</xdr:colOff>
                    <xdr:row>55</xdr:row>
                    <xdr:rowOff>38100</xdr:rowOff>
                  </from>
                  <to>
                    <xdr:col>26</xdr:col>
                    <xdr:colOff>50800</xdr:colOff>
                    <xdr:row>56</xdr:row>
                    <xdr:rowOff>38100</xdr:rowOff>
                  </to>
                </anchor>
              </controlPr>
            </control>
          </mc:Choice>
        </mc:AlternateContent>
        <mc:AlternateContent xmlns:mc="http://schemas.openxmlformats.org/markup-compatibility/2006">
          <mc:Choice Requires="x14">
            <control shapeId="6173" r:id="rId39" name="Check Box 29">
              <controlPr defaultSize="0" autoFill="0" autoLine="0" autoPict="0">
                <anchor moveWithCells="1">
                  <from>
                    <xdr:col>17</xdr:col>
                    <xdr:colOff>63500</xdr:colOff>
                    <xdr:row>25</xdr:row>
                    <xdr:rowOff>266700</xdr:rowOff>
                  </from>
                  <to>
                    <xdr:col>18</xdr:col>
                    <xdr:colOff>12700</xdr:colOff>
                    <xdr:row>27</xdr:row>
                    <xdr:rowOff>0</xdr:rowOff>
                  </to>
                </anchor>
              </controlPr>
            </control>
          </mc:Choice>
        </mc:AlternateContent>
        <mc:AlternateContent xmlns:mc="http://schemas.openxmlformats.org/markup-compatibility/2006">
          <mc:Choice Requires="x14">
            <control shapeId="6174" r:id="rId40" name="Check Box 30">
              <controlPr defaultSize="0" autoFill="0" autoLine="0" autoPict="0">
                <anchor moveWithCells="1">
                  <from>
                    <xdr:col>1</xdr:col>
                    <xdr:colOff>38100</xdr:colOff>
                    <xdr:row>7</xdr:row>
                    <xdr:rowOff>215900</xdr:rowOff>
                  </from>
                  <to>
                    <xdr:col>2</xdr:col>
                    <xdr:colOff>38100</xdr:colOff>
                    <xdr:row>8</xdr:row>
                    <xdr:rowOff>228600</xdr:rowOff>
                  </to>
                </anchor>
              </controlPr>
            </control>
          </mc:Choice>
        </mc:AlternateContent>
        <mc:AlternateContent xmlns:mc="http://schemas.openxmlformats.org/markup-compatibility/2006">
          <mc:Choice Requires="x14">
            <control shapeId="6175" r:id="rId41" name="Check Box 31">
              <controlPr defaultSize="0" autoFill="0" autoLine="0" autoPict="0">
                <anchor moveWithCells="1">
                  <from>
                    <xdr:col>2</xdr:col>
                    <xdr:colOff>127000</xdr:colOff>
                    <xdr:row>8</xdr:row>
                    <xdr:rowOff>215900</xdr:rowOff>
                  </from>
                  <to>
                    <xdr:col>3</xdr:col>
                    <xdr:colOff>107950</xdr:colOff>
                    <xdr:row>9</xdr:row>
                    <xdr:rowOff>222250</xdr:rowOff>
                  </to>
                </anchor>
              </controlPr>
            </control>
          </mc:Choice>
        </mc:AlternateContent>
        <mc:AlternateContent xmlns:mc="http://schemas.openxmlformats.org/markup-compatibility/2006">
          <mc:Choice Requires="x14">
            <control shapeId="6176" r:id="rId42" name="Check Box 32">
              <controlPr defaultSize="0" autoFill="0" autoLine="0" autoPict="0">
                <anchor moveWithCells="1">
                  <from>
                    <xdr:col>24</xdr:col>
                    <xdr:colOff>76200</xdr:colOff>
                    <xdr:row>65</xdr:row>
                    <xdr:rowOff>25400</xdr:rowOff>
                  </from>
                  <to>
                    <xdr:col>25</xdr:col>
                    <xdr:colOff>107950</xdr:colOff>
                    <xdr:row>66</xdr:row>
                    <xdr:rowOff>12700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3860D64B4900D42813E1A4D4A9790B2" ma:contentTypeVersion="13" ma:contentTypeDescription="新しいドキュメントを作成します。" ma:contentTypeScope="" ma:versionID="390089bad103e603b4a43e699ffce5c6">
  <xsd:schema xmlns:xsd="http://www.w3.org/2001/XMLSchema" xmlns:xs="http://www.w3.org/2001/XMLSchema" xmlns:p="http://schemas.microsoft.com/office/2006/metadata/properties" xmlns:ns3="b7bebf12-2161-4221-bb1d-9f5726f5a092" xmlns:ns4="d231a8ab-f10d-4c9b-a403-c9677ae16ade" targetNamespace="http://schemas.microsoft.com/office/2006/metadata/properties" ma:root="true" ma:fieldsID="9743cb36ce4b1bdd7b4769fbe61d9489" ns3:_="" ns4:_="">
    <xsd:import namespace="b7bebf12-2161-4221-bb1d-9f5726f5a092"/>
    <xsd:import namespace="d231a8ab-f10d-4c9b-a403-c9677ae16ad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bebf12-2161-4221-bb1d-9f5726f5a0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31a8ab-f10d-4c9b-a403-c9677ae16ad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SharingHintHash" ma:index="12"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AC5D5E-C219-4562-9157-575F9361D1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bebf12-2161-4221-bb1d-9f5726f5a092"/>
    <ds:schemaRef ds:uri="d231a8ab-f10d-4c9b-a403-c9677ae16a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6A3A37-A8AC-4A8A-91BC-DA12400DF247}">
  <ds:schemaRefs>
    <ds:schemaRef ds:uri="http://schemas.microsoft.com/sharepoint/v3/contenttype/forms"/>
  </ds:schemaRefs>
</ds:datastoreItem>
</file>

<file path=customXml/itemProps3.xml><?xml version="1.0" encoding="utf-8"?>
<ds:datastoreItem xmlns:ds="http://schemas.openxmlformats.org/officeDocument/2006/customXml" ds:itemID="{E0DC1731-E0E8-47A0-A7BB-D7EEECDEF14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楽天トラベル「Racco」申込書</vt:lpstr>
      <vt:lpstr>記入例</vt:lpstr>
      <vt:lpstr>楽天トラベル「Racco」申込書!Print_Area</vt:lpstr>
      <vt:lpstr>記入例!Print_Area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井手智恵美</dc:creator>
  <cp:keywords/>
  <dc:description/>
  <cp:lastModifiedBy>Ishikawa, Keigo | TRAMB</cp:lastModifiedBy>
  <cp:revision/>
  <dcterms:created xsi:type="dcterms:W3CDTF">2016-03-17T01:03:50Z</dcterms:created>
  <dcterms:modified xsi:type="dcterms:W3CDTF">2025-08-21T06:00:33Z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0x01010053860D64B4900D42813E1A4D4A9790B2</vt:lpwstr>
  </property>
</Properties>
</file>